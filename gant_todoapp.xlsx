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20" yWindow="-120" windowWidth="28800" windowHeight="14415" tabRatio="415"/>
  </bookViews>
  <sheets>
    <sheet name="Gantt" sheetId="11" r:id="rId1"/>
    <sheet name="Około" sheetId="12" r:id="rId2"/>
  </sheets>
  <definedNames>
    <definedName name="Dzisiaj" localSheetId="0">TODAY()</definedName>
    <definedName name="Projekt_start">Gantt!$F$3</definedName>
    <definedName name="Przewijanie_przyrostu">Gantt!$F$4</definedName>
    <definedName name="_xlnm.Print_Titles" localSheetId="0">Gantt!$4:$7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1" i="11" l="1"/>
  <c r="F10" i="11"/>
  <c r="F12" i="11" l="1"/>
  <c r="F15" i="11"/>
  <c r="F14" i="11"/>
  <c r="F13" i="11"/>
  <c r="F16" i="11" l="1"/>
  <c r="F17" i="11" l="1"/>
  <c r="F18" i="11" s="1"/>
  <c r="F19" i="11" s="1"/>
  <c r="F23" i="11" l="1"/>
  <c r="F20" i="11"/>
  <c r="F21" i="11" l="1"/>
  <c r="F22" i="11" l="1"/>
  <c r="I5" i="11" l="1"/>
  <c r="I7" i="11" l="1"/>
  <c r="I11" i="11"/>
  <c r="I19" i="11"/>
  <c r="I10" i="11"/>
  <c r="I23" i="11"/>
  <c r="I14" i="11"/>
  <c r="I9" i="11"/>
  <c r="I4" i="11"/>
  <c r="I13" i="11"/>
  <c r="I15" i="11"/>
  <c r="I20" i="11"/>
  <c r="I18" i="11"/>
  <c r="I17" i="11"/>
  <c r="J5" i="11"/>
  <c r="I22" i="11"/>
  <c r="I16" i="11"/>
  <c r="I12" i="11"/>
  <c r="I21" i="11"/>
  <c r="J12" i="11" l="1"/>
  <c r="J15" i="11"/>
  <c r="K5" i="11"/>
  <c r="K18" i="11" s="1"/>
  <c r="J18" i="11"/>
  <c r="J17" i="11"/>
  <c r="J11" i="11"/>
  <c r="J14" i="11"/>
  <c r="J22" i="11"/>
  <c r="J10" i="11"/>
  <c r="J19" i="11"/>
  <c r="J9" i="11"/>
  <c r="J20" i="11"/>
  <c r="J21" i="11"/>
  <c r="J16" i="11"/>
  <c r="J7" i="11"/>
  <c r="J13" i="11"/>
  <c r="J23" i="11"/>
  <c r="K14" i="11" l="1"/>
  <c r="K10" i="11"/>
  <c r="K7" i="11"/>
  <c r="K12" i="11"/>
  <c r="K13" i="11"/>
  <c r="K20" i="11"/>
  <c r="K23" i="11"/>
  <c r="K15" i="11"/>
  <c r="K17" i="11"/>
  <c r="K16" i="11"/>
  <c r="K9" i="11"/>
  <c r="K11" i="11"/>
  <c r="K22" i="11"/>
  <c r="L5" i="11"/>
  <c r="L22" i="11" s="1"/>
  <c r="K21" i="11"/>
  <c r="K19" i="11"/>
  <c r="L13" i="11" l="1"/>
  <c r="L14" i="11"/>
  <c r="L9" i="11"/>
  <c r="L10" i="11"/>
  <c r="L19" i="11"/>
  <c r="L18" i="11"/>
  <c r="L23" i="11"/>
  <c r="L20" i="11"/>
  <c r="L7" i="11"/>
  <c r="L12" i="11"/>
  <c r="L17" i="11"/>
  <c r="M5" i="11"/>
  <c r="M20" i="11" s="1"/>
  <c r="L15" i="11"/>
  <c r="L11" i="11"/>
  <c r="L16" i="11"/>
  <c r="L21" i="11"/>
  <c r="M21" i="11" l="1"/>
  <c r="M15" i="11"/>
  <c r="M17" i="11"/>
  <c r="M10" i="11"/>
  <c r="M22" i="11"/>
  <c r="M18" i="11"/>
  <c r="M12" i="11"/>
  <c r="M13" i="11"/>
  <c r="M11" i="11"/>
  <c r="M9" i="11"/>
  <c r="M19" i="11"/>
  <c r="M16" i="11"/>
  <c r="M14" i="11"/>
  <c r="M23" i="11"/>
  <c r="N5" i="11"/>
  <c r="N10" i="11" s="1"/>
  <c r="M7" i="11"/>
  <c r="N23" i="11" l="1"/>
  <c r="N11" i="11"/>
  <c r="N18" i="11"/>
  <c r="O5" i="11"/>
  <c r="O13" i="11" s="1"/>
  <c r="N19" i="11"/>
  <c r="N21" i="11"/>
  <c r="N7" i="11"/>
  <c r="N14" i="11"/>
  <c r="N17" i="11"/>
  <c r="N9" i="11"/>
  <c r="N16" i="11"/>
  <c r="N13" i="11"/>
  <c r="N15" i="11"/>
  <c r="N20" i="11"/>
  <c r="N22" i="11"/>
  <c r="N12" i="11"/>
  <c r="O17" i="11" l="1"/>
  <c r="O12" i="11"/>
  <c r="O18" i="11"/>
  <c r="O7" i="11"/>
  <c r="P5" i="11"/>
  <c r="P16" i="11" s="1"/>
  <c r="O22" i="11"/>
  <c r="O21" i="11"/>
  <c r="O9" i="11"/>
  <c r="O19" i="11"/>
  <c r="O23" i="11"/>
  <c r="O14" i="11"/>
  <c r="O16" i="11"/>
  <c r="O15" i="11"/>
  <c r="O10" i="11"/>
  <c r="O20" i="11"/>
  <c r="O11" i="11"/>
  <c r="P20" i="11" l="1"/>
  <c r="P23" i="11"/>
  <c r="P17" i="11"/>
  <c r="P19" i="11"/>
  <c r="P18" i="11"/>
  <c r="P22" i="11"/>
  <c r="P14" i="11"/>
  <c r="P15" i="11"/>
  <c r="P11" i="11"/>
  <c r="P7" i="11"/>
  <c r="P12" i="11"/>
  <c r="P4" i="11"/>
  <c r="Q5" i="11"/>
  <c r="Q15" i="11" s="1"/>
  <c r="P21" i="11"/>
  <c r="P9" i="11"/>
  <c r="P13" i="11"/>
  <c r="P10" i="11"/>
  <c r="Q21" i="11" l="1"/>
  <c r="Q14" i="11"/>
  <c r="Q19" i="11"/>
  <c r="Q11" i="11"/>
  <c r="Q9" i="11"/>
  <c r="Q12" i="11"/>
  <c r="Q10" i="11"/>
  <c r="Q20" i="11"/>
  <c r="Q7" i="11"/>
  <c r="Q13" i="11"/>
  <c r="Q18" i="11"/>
  <c r="Q16" i="11"/>
  <c r="R5" i="11"/>
  <c r="R15" i="11" s="1"/>
  <c r="Q23" i="11"/>
  <c r="Q17" i="11"/>
  <c r="Q22" i="11"/>
  <c r="R20" i="11" l="1"/>
  <c r="R14" i="11"/>
  <c r="R19" i="11"/>
  <c r="R18" i="11"/>
  <c r="R17" i="11"/>
  <c r="S5" i="11"/>
  <c r="S22" i="11" s="1"/>
  <c r="R9" i="11"/>
  <c r="R13" i="11"/>
  <c r="R23" i="11"/>
  <c r="R10" i="11"/>
  <c r="R11" i="11"/>
  <c r="R21" i="11"/>
  <c r="R7" i="11"/>
  <c r="R16" i="11"/>
  <c r="R22" i="11"/>
  <c r="R12" i="11"/>
  <c r="T5" i="11" l="1"/>
  <c r="T11" i="11" s="1"/>
  <c r="S20" i="11"/>
  <c r="S19" i="11"/>
  <c r="S15" i="11"/>
  <c r="S11" i="11"/>
  <c r="S14" i="11"/>
  <c r="S23" i="11"/>
  <c r="S17" i="11"/>
  <c r="S18" i="11"/>
  <c r="S13" i="11"/>
  <c r="S16" i="11"/>
  <c r="S12" i="11"/>
  <c r="S21" i="11"/>
  <c r="S9" i="11"/>
  <c r="S7" i="11"/>
  <c r="S10" i="11"/>
  <c r="T12" i="11"/>
  <c r="T16" i="11"/>
  <c r="T9" i="11"/>
  <c r="U5" i="11"/>
  <c r="T13" i="11"/>
  <c r="T22" i="11"/>
  <c r="T18" i="11"/>
  <c r="T19" i="11"/>
  <c r="T23" i="11"/>
  <c r="T15" i="11"/>
  <c r="T14" i="11"/>
  <c r="T21" i="11"/>
  <c r="T20" i="11"/>
  <c r="T10" i="11"/>
  <c r="T7" i="11"/>
  <c r="T17" i="11" l="1"/>
  <c r="U15" i="11"/>
  <c r="U22" i="11"/>
  <c r="U10" i="11"/>
  <c r="U7" i="11"/>
  <c r="U21" i="11"/>
  <c r="U11" i="11"/>
  <c r="U9" i="11"/>
  <c r="U20" i="11"/>
  <c r="V5" i="11"/>
  <c r="U12" i="11"/>
  <c r="U16" i="11"/>
  <c r="U17" i="11"/>
  <c r="U14" i="11"/>
  <c r="U18" i="11"/>
  <c r="U23" i="11"/>
  <c r="U19" i="11"/>
  <c r="U13" i="11"/>
  <c r="V17" i="11" l="1"/>
  <c r="V21" i="11"/>
  <c r="V7" i="11"/>
  <c r="V11" i="11"/>
  <c r="W5" i="11"/>
  <c r="V15" i="11"/>
  <c r="V22" i="11"/>
  <c r="V23" i="11"/>
  <c r="V12" i="11"/>
  <c r="V16" i="11"/>
  <c r="V14" i="11"/>
  <c r="V13" i="11"/>
  <c r="V18" i="11"/>
  <c r="V10" i="11"/>
  <c r="V19" i="11"/>
  <c r="V9" i="11"/>
  <c r="V20" i="11"/>
  <c r="W16" i="11" l="1"/>
  <c r="W20" i="11"/>
  <c r="W15" i="11"/>
  <c r="W17" i="11"/>
  <c r="X5" i="11"/>
  <c r="W10" i="11"/>
  <c r="W13" i="11"/>
  <c r="W4" i="11"/>
  <c r="W11" i="11"/>
  <c r="W14" i="11"/>
  <c r="W12" i="11"/>
  <c r="W9" i="11"/>
  <c r="W18" i="11"/>
  <c r="W23" i="11"/>
  <c r="W21" i="11"/>
  <c r="W7" i="11"/>
  <c r="W19" i="11"/>
  <c r="W22" i="11"/>
  <c r="X20" i="11" l="1"/>
  <c r="X15" i="11"/>
  <c r="X22" i="11"/>
  <c r="X21" i="11"/>
  <c r="X11" i="11"/>
  <c r="Y5" i="11"/>
  <c r="X18" i="11"/>
  <c r="X10" i="11"/>
  <c r="X16" i="11"/>
  <c r="X23" i="11"/>
  <c r="X7" i="11"/>
  <c r="X17" i="11"/>
  <c r="X19" i="11"/>
  <c r="X13" i="11"/>
  <c r="X9" i="11"/>
  <c r="X12" i="11"/>
  <c r="X14" i="11"/>
  <c r="Y18" i="11" l="1"/>
  <c r="Y10" i="11"/>
  <c r="Y14" i="11"/>
  <c r="Y19" i="11"/>
  <c r="Y16" i="11"/>
  <c r="Y13" i="11"/>
  <c r="Y20" i="11"/>
  <c r="Z5" i="11"/>
  <c r="Y11" i="11"/>
  <c r="Y12" i="11"/>
  <c r="Y23" i="11"/>
  <c r="Y15" i="11"/>
  <c r="Y9" i="11"/>
  <c r="Y22" i="11"/>
  <c r="Y21" i="11"/>
  <c r="Y7" i="11"/>
  <c r="Y17" i="11"/>
  <c r="Z11" i="11" l="1"/>
  <c r="Z22" i="11"/>
  <c r="Z15" i="11"/>
  <c r="Z16" i="11"/>
  <c r="Z7" i="11"/>
  <c r="Z17" i="11"/>
  <c r="Z10" i="11"/>
  <c r="Z20" i="11"/>
  <c r="Z9" i="11"/>
  <c r="Z23" i="11"/>
  <c r="Z21" i="11"/>
  <c r="Z18" i="11"/>
  <c r="Z19" i="11"/>
  <c r="Z13" i="11"/>
  <c r="Z12" i="11"/>
  <c r="Z14" i="11"/>
  <c r="AA5" i="11"/>
  <c r="AA11" i="11" l="1"/>
  <c r="AA10" i="11"/>
  <c r="AA20" i="11"/>
  <c r="AB5" i="11"/>
  <c r="AA17" i="11"/>
  <c r="AA13" i="11"/>
  <c r="AA12" i="11"/>
  <c r="AA22" i="11"/>
  <c r="AA21" i="11"/>
  <c r="AA9" i="11"/>
  <c r="AA16" i="11"/>
  <c r="AA23" i="11"/>
  <c r="AA7" i="11"/>
  <c r="AA14" i="11"/>
  <c r="AA15" i="11"/>
  <c r="AA19" i="11"/>
  <c r="AA18" i="11"/>
  <c r="AB23" i="11" l="1"/>
  <c r="AB10" i="11"/>
  <c r="AB11" i="11"/>
  <c r="AB7" i="11"/>
  <c r="AB13" i="11"/>
  <c r="AB12" i="11"/>
  <c r="AB20" i="11"/>
  <c r="AB17" i="11"/>
  <c r="AB14" i="11"/>
  <c r="AB15" i="11"/>
  <c r="AB9" i="11"/>
  <c r="AB21" i="11"/>
  <c r="AB16" i="11"/>
  <c r="AB22" i="11"/>
  <c r="AB18" i="11"/>
  <c r="AB19" i="11"/>
  <c r="AC5" i="11"/>
  <c r="AC17" i="11" l="1"/>
  <c r="AC18" i="11"/>
  <c r="AC22" i="11"/>
  <c r="AC9" i="11"/>
  <c r="AC12" i="11"/>
  <c r="AC11" i="11"/>
  <c r="AC13" i="11"/>
  <c r="AC14" i="11"/>
  <c r="AC16" i="11"/>
  <c r="AD5" i="11"/>
  <c r="AC7" i="11"/>
  <c r="AC10" i="11"/>
  <c r="AC21" i="11"/>
  <c r="AC20" i="11"/>
  <c r="AC15" i="11"/>
  <c r="AC19" i="11"/>
  <c r="AC23" i="11"/>
  <c r="AD4" i="11" l="1"/>
  <c r="AD19" i="11"/>
  <c r="AD21" i="11"/>
  <c r="AD10" i="11"/>
  <c r="AD23" i="11"/>
  <c r="AD22" i="11"/>
  <c r="AD11" i="11"/>
  <c r="AD13" i="11"/>
  <c r="AD18" i="11"/>
  <c r="AE5" i="11"/>
  <c r="AD16" i="11"/>
  <c r="AD15" i="11"/>
  <c r="AD14" i="11"/>
  <c r="AD17" i="11"/>
  <c r="AD7" i="11"/>
  <c r="AD9" i="11"/>
  <c r="AD20" i="11"/>
  <c r="AD12" i="11"/>
  <c r="AE11" i="11" l="1"/>
  <c r="AE9" i="11"/>
  <c r="AE20" i="11"/>
  <c r="AE12" i="11"/>
  <c r="AE23" i="11"/>
  <c r="AE15" i="11"/>
  <c r="AE7" i="11"/>
  <c r="AE22" i="11"/>
  <c r="AE21" i="11"/>
  <c r="AE17" i="11"/>
  <c r="AE14" i="11"/>
  <c r="AE19" i="11"/>
  <c r="AE18" i="11"/>
  <c r="AF5" i="11"/>
  <c r="AE13" i="11"/>
  <c r="AE10" i="11"/>
  <c r="AE16" i="11"/>
  <c r="AF7" i="11" l="1"/>
  <c r="AF17" i="11"/>
  <c r="AF11" i="11"/>
  <c r="AF15" i="11"/>
  <c r="AF16" i="11"/>
  <c r="AF22" i="11"/>
  <c r="AF21" i="11"/>
  <c r="AF20" i="11"/>
  <c r="AF23" i="11"/>
  <c r="AF18" i="11"/>
  <c r="AF10" i="11"/>
  <c r="AF19" i="11"/>
  <c r="AF12" i="11"/>
  <c r="AF14" i="11"/>
  <c r="AF13" i="11"/>
  <c r="AF9" i="11"/>
  <c r="AG5" i="11"/>
  <c r="AG19" i="11" l="1"/>
  <c r="AG14" i="11"/>
  <c r="AG23" i="11"/>
  <c r="AG21" i="11"/>
  <c r="AG9" i="11"/>
  <c r="AG20" i="11"/>
  <c r="AG11" i="11"/>
  <c r="AG7" i="11"/>
  <c r="AG16" i="11"/>
  <c r="AG22" i="11"/>
  <c r="AG15" i="11"/>
  <c r="AG10" i="11"/>
  <c r="AG18" i="11"/>
  <c r="AH5" i="11"/>
  <c r="AG17" i="11"/>
  <c r="AG13" i="11"/>
  <c r="AG12" i="11"/>
  <c r="AH20" i="11" l="1"/>
  <c r="AH7" i="11"/>
  <c r="AH23" i="11"/>
  <c r="AH14" i="11"/>
  <c r="AH11" i="11"/>
  <c r="AH18" i="11"/>
  <c r="AH12" i="11"/>
  <c r="AH9" i="11"/>
  <c r="AH19" i="11"/>
  <c r="AI5" i="11"/>
  <c r="AH22" i="11"/>
  <c r="AH10" i="11"/>
  <c r="AH21" i="11"/>
  <c r="AH13" i="11"/>
  <c r="AH16" i="11"/>
  <c r="AH17" i="11"/>
  <c r="AH15" i="11"/>
  <c r="AI19" i="11" l="1"/>
  <c r="AI13" i="11"/>
  <c r="AI21" i="11"/>
  <c r="AI11" i="11"/>
  <c r="AI17" i="11"/>
  <c r="AJ5" i="11"/>
  <c r="AI20" i="11"/>
  <c r="AI7" i="11"/>
  <c r="AI9" i="11"/>
  <c r="AI18" i="11"/>
  <c r="AI15" i="11"/>
  <c r="AI16" i="11"/>
  <c r="AI14" i="11"/>
  <c r="AI10" i="11"/>
  <c r="AI23" i="11"/>
  <c r="AI12" i="11"/>
  <c r="AI22" i="11"/>
  <c r="AJ19" i="11" l="1"/>
  <c r="AJ20" i="11"/>
  <c r="AJ10" i="11"/>
  <c r="AJ22" i="11"/>
  <c r="AJ23" i="11"/>
  <c r="AJ14" i="11"/>
  <c r="AJ7" i="11"/>
  <c r="AJ12" i="11"/>
  <c r="AJ15" i="11"/>
  <c r="AJ16" i="11"/>
  <c r="AJ17" i="11"/>
  <c r="AK5" i="11"/>
  <c r="AJ18" i="11"/>
  <c r="AJ9" i="11"/>
  <c r="AJ13" i="11"/>
  <c r="AJ11" i="11"/>
  <c r="AJ21" i="11"/>
  <c r="AK7" i="11" l="1"/>
  <c r="AK12" i="11"/>
  <c r="AK4" i="11"/>
  <c r="AK16" i="11"/>
  <c r="AK13" i="11"/>
  <c r="AK10" i="11"/>
  <c r="AK17" i="11"/>
  <c r="AK18" i="11"/>
  <c r="AK19" i="11"/>
  <c r="AK21" i="11"/>
  <c r="AK14" i="11"/>
  <c r="AK11" i="11"/>
  <c r="AK22" i="11"/>
  <c r="AK15" i="11"/>
  <c r="AK9" i="11"/>
  <c r="AK23" i="11"/>
  <c r="AK20" i="11"/>
  <c r="AL5" i="11"/>
  <c r="AL17" i="11" l="1"/>
  <c r="AL18" i="11"/>
  <c r="AL21" i="11"/>
  <c r="AL12" i="11"/>
  <c r="AL11" i="11"/>
  <c r="AL7" i="11"/>
  <c r="AL20" i="11"/>
  <c r="AL16" i="11"/>
  <c r="AM5" i="11"/>
  <c r="AL14" i="11"/>
  <c r="AL13" i="11"/>
  <c r="AL22" i="11"/>
  <c r="AL10" i="11"/>
  <c r="AL9" i="11"/>
  <c r="AL23" i="11"/>
  <c r="AL19" i="11"/>
  <c r="AL15" i="11"/>
  <c r="AM14" i="11" l="1"/>
  <c r="AM10" i="11"/>
  <c r="AM23" i="11"/>
  <c r="AM22" i="11"/>
  <c r="AM16" i="11"/>
  <c r="AM7" i="11"/>
  <c r="AM11" i="11"/>
  <c r="AM20" i="11"/>
  <c r="AM18" i="11"/>
  <c r="AN5" i="11"/>
  <c r="AM17" i="11"/>
  <c r="AM19" i="11"/>
  <c r="AM15" i="11"/>
  <c r="AM9" i="11"/>
  <c r="AM21" i="11"/>
  <c r="AM12" i="11"/>
  <c r="AM13" i="11"/>
  <c r="AN10" i="11" l="1"/>
  <c r="AN22" i="11"/>
  <c r="AN14" i="11"/>
  <c r="AO5" i="11"/>
  <c r="AN7" i="11"/>
  <c r="AN11" i="11"/>
  <c r="AN17" i="11"/>
  <c r="AN18" i="11"/>
  <c r="AN23" i="11"/>
  <c r="AN15" i="11"/>
  <c r="AN19" i="11"/>
  <c r="AN13" i="11"/>
  <c r="AN21" i="11"/>
  <c r="AN9" i="11"/>
  <c r="AN20" i="11"/>
  <c r="AN12" i="11"/>
  <c r="AN16" i="11"/>
  <c r="AO17" i="11" l="1"/>
  <c r="AO14" i="11"/>
  <c r="AO9" i="11"/>
  <c r="AO19" i="11"/>
  <c r="AO20" i="11"/>
  <c r="AO7" i="11"/>
  <c r="AO15" i="11"/>
  <c r="AO11" i="11"/>
  <c r="AO13" i="11"/>
  <c r="AP5" i="11"/>
  <c r="AO18" i="11"/>
  <c r="AO10" i="11"/>
  <c r="AO21" i="11"/>
  <c r="AO12" i="11"/>
  <c r="AO16" i="11"/>
  <c r="AO23" i="11"/>
  <c r="AO22" i="11"/>
  <c r="AP11" i="11" l="1"/>
  <c r="AP10" i="11"/>
  <c r="AP9" i="11"/>
  <c r="AP20" i="11"/>
  <c r="AP13" i="11"/>
  <c r="AP7" i="11"/>
  <c r="AP15" i="11"/>
  <c r="AP16" i="11"/>
  <c r="AP21" i="11"/>
  <c r="AP12" i="11"/>
  <c r="AP23" i="11"/>
  <c r="AP14" i="11"/>
  <c r="AP17" i="11"/>
  <c r="AQ5" i="11"/>
  <c r="AP19" i="11"/>
  <c r="AP18" i="11"/>
  <c r="AP22" i="11"/>
  <c r="AQ12" i="11" l="1"/>
  <c r="AQ11" i="11"/>
  <c r="AQ13" i="11"/>
  <c r="AQ16" i="11"/>
  <c r="AQ10" i="11"/>
  <c r="AR5" i="11"/>
  <c r="AQ20" i="11"/>
  <c r="AQ18" i="11"/>
  <c r="AQ9" i="11"/>
  <c r="AQ23" i="11"/>
  <c r="AQ19" i="11"/>
  <c r="AQ17" i="11"/>
  <c r="AQ22" i="11"/>
  <c r="AQ7" i="11"/>
  <c r="AQ14" i="11"/>
  <c r="AQ21" i="11"/>
  <c r="AQ15" i="11"/>
  <c r="AR13" i="11" l="1"/>
  <c r="AR10" i="11"/>
  <c r="AR16" i="11"/>
  <c r="AR9" i="11"/>
  <c r="AR4" i="11"/>
  <c r="AR21" i="11"/>
  <c r="AR7" i="11"/>
  <c r="AR12" i="11"/>
  <c r="AR23" i="11"/>
  <c r="AR22" i="11"/>
  <c r="AR18" i="11"/>
  <c r="AR17" i="11"/>
  <c r="AR15" i="11"/>
  <c r="AR11" i="11"/>
  <c r="AR20" i="11"/>
  <c r="AR14" i="11"/>
  <c r="AR19" i="11"/>
  <c r="AS5" i="11"/>
  <c r="AS20" i="11" l="1"/>
  <c r="AS7" i="11"/>
  <c r="AS15" i="11"/>
  <c r="AS22" i="11"/>
  <c r="AS16" i="11"/>
  <c r="AS9" i="11"/>
  <c r="AS19" i="11"/>
  <c r="AS10" i="11"/>
  <c r="AS14" i="11"/>
  <c r="AS12" i="11"/>
  <c r="AS23" i="11"/>
  <c r="AS13" i="11"/>
  <c r="AS18" i="11"/>
  <c r="AS21" i="11"/>
  <c r="AS11" i="11"/>
  <c r="AS17" i="11"/>
  <c r="AT5" i="11"/>
  <c r="AT17" i="11" l="1"/>
  <c r="AT15" i="11"/>
  <c r="AT23" i="11"/>
  <c r="AT16" i="11"/>
  <c r="AT18" i="11"/>
  <c r="AT11" i="11"/>
  <c r="AT12" i="11"/>
  <c r="AT9" i="11"/>
  <c r="AT14" i="11"/>
  <c r="AT19" i="11"/>
  <c r="AT10" i="11"/>
  <c r="AT7" i="11"/>
  <c r="AT13" i="11"/>
  <c r="AT20" i="11"/>
  <c r="AT22" i="11"/>
  <c r="AU5" i="11"/>
  <c r="AT21" i="11"/>
  <c r="AU10" i="11" l="1"/>
  <c r="AU21" i="11"/>
  <c r="AU7" i="11"/>
  <c r="AU11" i="11"/>
  <c r="AU20" i="11"/>
  <c r="AU18" i="11"/>
  <c r="AU23" i="11"/>
  <c r="AV5" i="11"/>
  <c r="AU19" i="11"/>
  <c r="AU22" i="11"/>
  <c r="AU12" i="11"/>
  <c r="AU16" i="11"/>
  <c r="AU14" i="11"/>
  <c r="AU15" i="11"/>
  <c r="AU9" i="11"/>
  <c r="AU17" i="11"/>
  <c r="AU13" i="11"/>
  <c r="AV11" i="11" l="1"/>
  <c r="AV17" i="11"/>
  <c r="AV22" i="11"/>
  <c r="AW5" i="11"/>
  <c r="AV23" i="11"/>
  <c r="AV7" i="11"/>
  <c r="AV9" i="11"/>
  <c r="AV19" i="11"/>
  <c r="AV10" i="11"/>
  <c r="AV14" i="11"/>
  <c r="AV16" i="11"/>
  <c r="AV18" i="11"/>
  <c r="AV13" i="11"/>
  <c r="AV12" i="11"/>
  <c r="AV15" i="11"/>
  <c r="AV21" i="11"/>
  <c r="AV20" i="11"/>
  <c r="AW7" i="11" l="1"/>
  <c r="AW15" i="11"/>
  <c r="AW14" i="11"/>
  <c r="AW12" i="11"/>
  <c r="AW22" i="11"/>
  <c r="AW17" i="11"/>
  <c r="AW13" i="11"/>
  <c r="AW16" i="11"/>
  <c r="AW23" i="11"/>
  <c r="AW9" i="11"/>
  <c r="AW19" i="11"/>
  <c r="AW21" i="11"/>
  <c r="AW18" i="11"/>
  <c r="AW20" i="11"/>
  <c r="AW11" i="11"/>
  <c r="AX5" i="11"/>
  <c r="AW10" i="11"/>
  <c r="AX10" i="11" l="1"/>
  <c r="AX16" i="11"/>
  <c r="AX13" i="11"/>
  <c r="AX18" i="11"/>
  <c r="AX12" i="11"/>
  <c r="AX14" i="11"/>
  <c r="AX11" i="11"/>
  <c r="AX22" i="11"/>
  <c r="AX7" i="11"/>
  <c r="AX19" i="11"/>
  <c r="AX21" i="11"/>
  <c r="AX20" i="11"/>
  <c r="AX17" i="11"/>
  <c r="AX23" i="11"/>
  <c r="AX15" i="11"/>
  <c r="AX9" i="11"/>
  <c r="AY5" i="11"/>
  <c r="AY16" i="11" l="1"/>
  <c r="AY21" i="11"/>
  <c r="AY7" i="11"/>
  <c r="AY15" i="11"/>
  <c r="AY4" i="11"/>
  <c r="AY10" i="11"/>
  <c r="AY14" i="11"/>
  <c r="AY13" i="11"/>
  <c r="AY18" i="11"/>
  <c r="AY22" i="11"/>
  <c r="AY20" i="11"/>
  <c r="AY11" i="11"/>
  <c r="AY23" i="11"/>
  <c r="AY12" i="11"/>
  <c r="AY9" i="11"/>
  <c r="AY17" i="11"/>
  <c r="AY19" i="11"/>
  <c r="AZ5" i="11"/>
  <c r="AZ20" i="11" l="1"/>
  <c r="AZ21" i="11"/>
  <c r="AZ16" i="11"/>
  <c r="AZ15" i="11"/>
  <c r="AZ12" i="11"/>
  <c r="AZ10" i="11"/>
  <c r="AZ22" i="11"/>
  <c r="AZ7" i="11"/>
  <c r="BA5" i="11"/>
  <c r="AZ11" i="11"/>
  <c r="AZ9" i="11"/>
  <c r="AZ13" i="11"/>
  <c r="AZ18" i="11"/>
  <c r="AZ14" i="11"/>
  <c r="AZ19" i="11"/>
  <c r="AZ23" i="11"/>
  <c r="AZ17" i="11"/>
  <c r="BA14" i="11" l="1"/>
  <c r="BA12" i="11"/>
  <c r="BA15" i="11"/>
  <c r="BA22" i="11"/>
  <c r="BA13" i="11"/>
  <c r="BA21" i="11"/>
  <c r="BA9" i="11"/>
  <c r="BA7" i="11"/>
  <c r="BA18" i="11"/>
  <c r="BA10" i="11"/>
  <c r="BA19" i="11"/>
  <c r="BA11" i="11"/>
  <c r="BB5" i="11"/>
  <c r="BA17" i="11"/>
  <c r="BA20" i="11"/>
  <c r="BA23" i="11"/>
  <c r="BA16" i="11"/>
  <c r="BB15" i="11" l="1"/>
  <c r="BB10" i="11"/>
  <c r="BB12" i="11"/>
  <c r="BB11" i="11"/>
  <c r="BB20" i="11"/>
  <c r="BC5" i="11"/>
  <c r="BB19" i="11"/>
  <c r="BB16" i="11"/>
  <c r="BB21" i="11"/>
  <c r="BB13" i="11"/>
  <c r="BB14" i="11"/>
  <c r="BB17" i="11"/>
  <c r="BB9" i="11"/>
  <c r="BB18" i="11"/>
  <c r="BB22" i="11"/>
  <c r="BB23" i="11"/>
  <c r="BB7" i="11"/>
  <c r="BC14" i="11" l="1"/>
  <c r="BC18" i="11"/>
  <c r="BC21" i="11"/>
  <c r="BC15" i="11"/>
  <c r="BC16" i="11"/>
  <c r="BC20" i="11"/>
  <c r="BC7" i="11"/>
  <c r="BC11" i="11"/>
  <c r="BC22" i="11"/>
  <c r="BC9" i="11"/>
  <c r="BC19" i="11"/>
  <c r="BC17" i="11"/>
  <c r="BC23" i="11"/>
  <c r="BC12" i="11"/>
  <c r="BC10" i="11"/>
  <c r="BC13" i="11"/>
  <c r="BD5" i="11"/>
  <c r="BD23" i="11" l="1"/>
  <c r="BD10" i="11"/>
  <c r="BD12" i="11"/>
  <c r="BD16" i="11"/>
  <c r="BD22" i="11"/>
  <c r="BD13" i="11"/>
  <c r="BD9" i="11"/>
  <c r="BD18" i="11"/>
  <c r="BD11" i="11"/>
  <c r="BD20" i="11"/>
  <c r="BE5" i="11"/>
  <c r="BD19" i="11"/>
  <c r="BD15" i="11"/>
  <c r="BD21" i="11"/>
  <c r="BD7" i="11"/>
  <c r="BD14" i="11"/>
  <c r="BD17" i="11"/>
  <c r="BE16" i="11" l="1"/>
  <c r="BE19" i="11"/>
  <c r="BE13" i="11"/>
  <c r="BE15" i="11"/>
  <c r="BE9" i="11"/>
  <c r="BE14" i="11"/>
  <c r="BE20" i="11"/>
  <c r="BE17" i="11"/>
  <c r="BE21" i="11"/>
  <c r="BE11" i="11"/>
  <c r="BE12" i="11"/>
  <c r="BE22" i="11"/>
  <c r="BF5" i="11"/>
  <c r="BE18" i="11"/>
  <c r="BE10" i="11"/>
  <c r="BE7" i="11"/>
  <c r="BE23" i="11"/>
  <c r="BF23" i="11" l="1"/>
  <c r="BF13" i="11"/>
  <c r="BF16" i="11"/>
  <c r="BF20" i="11"/>
  <c r="BF15" i="11"/>
  <c r="BF9" i="11"/>
  <c r="BF17" i="11"/>
  <c r="BF18" i="11"/>
  <c r="BF4" i="11"/>
  <c r="BF22" i="11"/>
  <c r="BF11" i="11"/>
  <c r="BF14" i="11"/>
  <c r="BF21" i="11"/>
  <c r="BF7" i="11"/>
  <c r="BG5" i="11"/>
  <c r="BF10" i="11"/>
  <c r="BF19" i="11"/>
  <c r="BF12" i="11"/>
  <c r="BG16" i="11" l="1"/>
  <c r="BG10" i="11"/>
  <c r="BG13" i="11"/>
  <c r="BG22" i="11"/>
  <c r="BG15" i="11"/>
  <c r="BG11" i="11"/>
  <c r="BG19" i="11"/>
  <c r="BG9" i="11"/>
  <c r="BG18" i="11"/>
  <c r="BG23" i="11"/>
  <c r="BG20" i="11"/>
  <c r="BG14" i="11"/>
  <c r="BG12" i="11"/>
  <c r="BH5" i="11"/>
  <c r="BG17" i="11"/>
  <c r="BG21" i="11"/>
  <c r="BG7" i="11"/>
  <c r="BH20" i="11" l="1"/>
  <c r="BH13" i="11"/>
  <c r="BH16" i="11"/>
  <c r="BH22" i="11"/>
  <c r="BH15" i="11"/>
  <c r="BH17" i="11"/>
  <c r="BH10" i="11"/>
  <c r="BH9" i="11"/>
  <c r="BH14" i="11"/>
  <c r="BH23" i="11"/>
  <c r="BH19" i="11"/>
  <c r="BH18" i="11"/>
  <c r="BH7" i="11"/>
  <c r="BH12" i="11"/>
  <c r="BH11" i="11"/>
  <c r="BH21" i="11"/>
  <c r="BI5" i="11"/>
  <c r="BI21" i="11" l="1"/>
  <c r="BI11" i="11"/>
  <c r="BI18" i="11"/>
  <c r="BI19" i="11"/>
  <c r="BI17" i="11"/>
  <c r="BJ5" i="11"/>
  <c r="BI10" i="11"/>
  <c r="BI20" i="11"/>
  <c r="BI12" i="11"/>
  <c r="BI23" i="11"/>
  <c r="BI16" i="11"/>
  <c r="BI22" i="11"/>
  <c r="BI13" i="11"/>
  <c r="BI7" i="11"/>
  <c r="BI9" i="11"/>
  <c r="BI15" i="11"/>
  <c r="BI14" i="11"/>
  <c r="BJ10" i="11" l="1"/>
  <c r="BJ19" i="11"/>
  <c r="BK5" i="11"/>
  <c r="BJ7" i="11"/>
  <c r="BJ13" i="11"/>
  <c r="BJ20" i="11"/>
  <c r="BJ22" i="11"/>
  <c r="BJ21" i="11"/>
  <c r="BJ23" i="11"/>
  <c r="BJ12" i="11"/>
  <c r="BJ9" i="11"/>
  <c r="BJ11" i="11"/>
  <c r="BJ17" i="11"/>
  <c r="BJ18" i="11"/>
  <c r="BJ16" i="11"/>
  <c r="BJ14" i="11"/>
  <c r="BJ15" i="11"/>
  <c r="BK15" i="11" l="1"/>
  <c r="BK13" i="11"/>
  <c r="BK16" i="11"/>
  <c r="BK7" i="11"/>
  <c r="BK11" i="11"/>
  <c r="BL5" i="11"/>
  <c r="BK14" i="11"/>
  <c r="BK19" i="11"/>
  <c r="BK23" i="11"/>
  <c r="BK10" i="11"/>
  <c r="BK22" i="11"/>
  <c r="BK18" i="11"/>
  <c r="BK20" i="11"/>
  <c r="BK12" i="11"/>
  <c r="BK21" i="11"/>
  <c r="BK9" i="11"/>
  <c r="BK17" i="11"/>
  <c r="BL20" i="11" l="1"/>
  <c r="BL17" i="11"/>
  <c r="BL19" i="11"/>
  <c r="BL16" i="11"/>
  <c r="BL10" i="11"/>
  <c r="BL15" i="11"/>
  <c r="BL13" i="11"/>
  <c r="BL21" i="11"/>
  <c r="BL12" i="11"/>
  <c r="BL22" i="11"/>
  <c r="BL14" i="11"/>
  <c r="BL18" i="11"/>
  <c r="BL7" i="11"/>
  <c r="BL23" i="11"/>
  <c r="BL11" i="11"/>
  <c r="BL9" i="11"/>
</calcChain>
</file>

<file path=xl/sharedStrings.xml><?xml version="1.0" encoding="utf-8"?>
<sst xmlns="http://schemas.openxmlformats.org/spreadsheetml/2006/main" count="78" uniqueCount="53">
  <si>
    <t>W tym arkuszu utwórz wykres Gantta.
Wprowadź tytuł tego projektu w komórce B1. 
Tytuł legendy znajduje się w komórce I1.
W arkuszu Informacje podano informacje dotyczące sposobu używania tego arkusza, w tym instrukcje dla czytników zawartości ekranu oraz informacje o autorze tego skoroszytu.
Aby zapoznać się z dodatkowymi instrukcjami, przechodź w dół kolumny A.</t>
  </si>
  <si>
    <t>W komórce B2 wprowadź nazwę firmy.
Legenda znajduje się w komórkach od I2 do AC2.</t>
  </si>
  <si>
    <t>W komórce B3 wprowadź nazwę kierownika projektu. Wprowadź datę rozpoczęcia projektu w komórce F3 lub za pomocą prostej formuły znajdź najmniejszą wartość daty z tabeli danych wykresu Gantta.  
Data rozpoczęcia projektu: etykieta znajduje się w komórce D3.</t>
  </si>
  <si>
    <t>Przewijanie przyrostu znajduje się w komórce F4. 
Miesiące dla dat w wierszu 5 są wyświetlane w komórkach od I4 do BL4.
Nie modyfikuj tych komórek. Są one automatycznie aktualizowane na podstawie daty rozpoczęcia projektu w komórce F3.</t>
  </si>
  <si>
    <t>Komórki od I5 do BL5 zawierają numer dnia miesiąca w miesiącu przedstawionym w bloku komórki nad każdą komórką daty i są obliczane automatycznie.
Nie modyfikuj tych komórek.
Dzisiejsza data jest wyróżniona czerwonym kolorem (szesnastkowo: #AD3815) od dzisiejszej daty w wierszu 5 przez całą kolumnę Data do końcu harmonogramu projektu.</t>
  </si>
  <si>
    <t>Pasek przewijania znajduje się w komórkach od I6 do BL6. Przyrost dla stronicowania danych jest zdefiniowany dla 2 stron naraz i można go skonfigurować w ustawieniach paska sterowania. 
Aby przejść do przodu lub do tyłu na osi czasu, w komórce F4 wprowadź wartość 0 lub wyższą.
Wartość 0 spowoduje przejście na początek wykresu.</t>
  </si>
  <si>
    <t>Ten wiersz zawiera nagłówki dla harmonogramu projektu, który znajduje się poniżej nich. 
Przejdź do komórek od B7 do BL7, aby zapoznać się z tą zawartością. Pierwsza litera każdego dnia tygodnia dla daty podanej powyżej tego nagłówka rozpoczyna się od komórki I7 i ciągnie się do BL7.
Wszystkie wykresy osi czasu projektu są generowane automatycznie na podstawie kategorii, daty rozpoczęcia oraz liczby dni wprowadzonych w tabeli Punkty kontrolne.</t>
  </si>
  <si>
    <t xml:space="preserve">Nie usuwaj tego wiersza. Ten wiersz jest ukryty w celu zachowania formuły, która jest używana do wyróżniania bieżącego dnia w harmonogramie projektu. </t>
  </si>
  <si>
    <t>Wprowadź informacje o projekcie, począwszy od komórki B9 do komórki G9. 
Przykładowe dane znajdują się w komórkach od B9 do G33.
Aby rozpocząć tworzenie wykresów, wprowadź opis punku kontrolnego, wybierz kategorię na liście rozwijanej, przypisz osobę do danego elementu, wprowadź postęp, datę rozpoczęcia oraz liczbę dni dla tego zadania.
Dalsze instrukcje znajdują się w komórce A34.</t>
  </si>
  <si>
    <t>Ten wiersz oznacza koniec danych punktu kontrolnego wykresu Gantta. NIE wprowadzaj niczego w tym wierszu. 
Aby dodać więcej elementów, wstaw nowe wiersze powyżej tego.</t>
  </si>
  <si>
    <t>TYTUŁ PROJEKTU</t>
  </si>
  <si>
    <t>Nazwa firmy</t>
  </si>
  <si>
    <t>Kierownik projektu</t>
  </si>
  <si>
    <t>Opis punktu kontrolnego</t>
  </si>
  <si>
    <t>Aby dodać więcej danych, wstaw nowe wiersze POWYŻEJ tego.</t>
  </si>
  <si>
    <t>Kategoria</t>
  </si>
  <si>
    <t>Cel</t>
  </si>
  <si>
    <t>Niskie ryzyko</t>
  </si>
  <si>
    <t>Średnie ryzyko</t>
  </si>
  <si>
    <t>Wysokie ryzyko</t>
  </si>
  <si>
    <t>Zgodnie z planem</t>
  </si>
  <si>
    <t>Data rozpoczęcia projektu:</t>
  </si>
  <si>
    <t>Przewijanie przyrostu:</t>
  </si>
  <si>
    <t>Przypisane do</t>
  </si>
  <si>
    <t>Postęp</t>
  </si>
  <si>
    <t>Start</t>
  </si>
  <si>
    <t>Liczba dni</t>
  </si>
  <si>
    <t>Legenda:</t>
  </si>
  <si>
    <t>Nieprzypisane</t>
  </si>
  <si>
    <t>Informacje o tym szablonie</t>
  </si>
  <si>
    <t xml:space="preserve">Ten szablon zapewnia prosty sposób tworzenia wykresu Gantta w celu ułatwienia wizualizacji i śledzenia projektu. Po prostu wprowadź opis zadań, wybierz kategorię Cel, Punkt kontrolny, Niskie ryzyko, Średnie ryzyko, Wysokie ryzyko, Postęp jako wartość procentową wykonania zadania, a także datę rozpoczęcia oraz liczbę dni, aby ukończyć zadanie. Wykres Gantta wypełni się i jest oznaczony kolorami, aby ułatwić odróżnienie poszczególnych kategorii. Pasek przewijania pozwala przewijać oś czasu. Wstaw nowe zadania przez wstawianie nowych wierszy.
</t>
  </si>
  <si>
    <t>Przewodnik dotyczący czytników zawartości ekranu</t>
  </si>
  <si>
    <t>Jest to ostatnia instrukcja w tym arkuszu.</t>
  </si>
  <si>
    <t>W tym skoroszycie znajdują się 2 arkusze. 
Wykres Gantta
Około
Instrukcje dotyczące każdego arkusza znajdują się w kolumnie A (zaczynają się od komórki A1). Ich tekst jest ukryty. Każdy krok prowadzi Cię przez informacje w danym wierszu. Kolejne kroki podane są w komórkach A2, A3 i tak dalej, chyba że wyraźnie stwierdzono inaczej. Na przykład tekst instrukcji może brzmieć „aby wykonać następny krok, przejdź do komórki A6”. 
Ten tekst ukryty nie zostanie wydrukowany.
Aby usunąć te instrukcje z arkusza, po prostu usuń kolumnę A.</t>
  </si>
  <si>
    <t>Cała grupa</t>
  </si>
  <si>
    <t>Zaplanowanie struktury projektu</t>
  </si>
  <si>
    <t>Funkcje i moduły do stworzenia</t>
  </si>
  <si>
    <t>Marcin</t>
  </si>
  <si>
    <t>Prototyp Interfejsu</t>
  </si>
  <si>
    <t>Bartek</t>
  </si>
  <si>
    <t>Szkielet aplikacji</t>
  </si>
  <si>
    <t>Cała Grupa</t>
  </si>
  <si>
    <t xml:space="preserve"> Zaplanowanie Funkcjonalności</t>
  </si>
  <si>
    <t>Serwlety request/post</t>
  </si>
  <si>
    <t>Opracowanie funkcji podswawowych strony</t>
  </si>
  <si>
    <t>Funkcje wyświetlania listy zadań</t>
  </si>
  <si>
    <t>Dodawanie zadań</t>
  </si>
  <si>
    <t>Usuwanie Zadań</t>
  </si>
  <si>
    <t>Oznaczenie wyk. Zadania</t>
  </si>
  <si>
    <t>Design i rozm. Przycisków funkcji w interfejsie</t>
  </si>
  <si>
    <t>Ulepszenie interaktywności strony</t>
  </si>
  <si>
    <t>Integracja funkcji  w Javie z JSP</t>
  </si>
  <si>
    <t>Dobór palety kolorów i estetyki aplikacji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</si>
</sst>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2" formatCode="_-* #,##0\ &quot;zł&quot;_-;\-* #,##0\ &quot;zł&quot;_-;_-* &quot;-&quot;\ &quot;zł&quot;_-;_-@_-"/>
    <numFmt numFmtId="44" formatCode="_-* #,##0.00\ &quot;zł&quot;_-;\-* #,##0.00\ &quot;zł&quot;_-;_-* &quot;-&quot;??\ &quot;zł&quot;_-;_-@_-"/>
    <numFmt numFmtId="164" formatCode="_(* #,##0.00_);_(* \(#,##0.00\);_(* &quot;-&quot;??_);_(@_)"/>
    <numFmt numFmtId="165" formatCode="d"/>
    <numFmt numFmtId="166" formatCode="#,##0_ ;\-#,##0\ "/>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2" tint="-9.9978637043366805E-2"/>
        <bgColor indexed="64"/>
      </patternFill>
    </fill>
    <fill>
      <patternFill patternType="solid">
        <fgColor theme="4"/>
        <bgColor indexed="64"/>
      </patternFill>
    </fill>
    <fill>
      <patternFill patternType="solid">
        <fgColor theme="6"/>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right/>
      <top/>
      <bottom style="thin">
        <color theme="0" tint="-0.249977111117893"/>
      </bottom>
      <diagonal/>
    </border>
    <border>
      <left style="thin">
        <color theme="0" tint="-0.249977111117893"/>
      </left>
      <right/>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3743705557422"/>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3" fillId="0" borderId="0" applyNumberFormat="0" applyFill="0" applyBorder="0" applyAlignment="0" applyProtection="0">
      <alignment vertical="top"/>
      <protection locked="0"/>
    </xf>
    <xf numFmtId="9" fontId="6" fillId="0" borderId="0" applyFont="0" applyFill="0" applyBorder="0" applyProtection="0">
      <alignment horizontal="center" vertical="center"/>
    </xf>
    <xf numFmtId="0" fontId="14" fillId="0" borderId="0"/>
    <xf numFmtId="164" fontId="6" fillId="0" borderId="1" applyFont="0" applyFill="0" applyAlignment="0" applyProtection="0"/>
    <xf numFmtId="0" fontId="8"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vertical="center" indent="1"/>
    </xf>
    <xf numFmtId="14" fontId="6" fillId="0" borderId="0" applyFont="0" applyFill="0" applyBorder="0">
      <alignment horizontal="center" vertical="center"/>
    </xf>
    <xf numFmtId="166" fontId="6" fillId="0" borderId="0" applyFont="0" applyFill="0" applyBorder="0" applyProtection="0">
      <alignment horizontal="center" vertical="center"/>
    </xf>
    <xf numFmtId="44" fontId="6" fillId="0" borderId="0" applyFont="0" applyFill="0" applyBorder="0" applyAlignment="0" applyProtection="0"/>
    <xf numFmtId="42" fontId="6" fillId="0" borderId="0" applyFont="0" applyFill="0" applyBorder="0" applyAlignment="0" applyProtection="0"/>
    <xf numFmtId="0" fontId="20" fillId="0" borderId="0" applyNumberFormat="0" applyFill="0" applyBorder="0" applyAlignment="0" applyProtection="0"/>
    <xf numFmtId="0" fontId="21" fillId="10"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xf numFmtId="0" fontId="24" fillId="13" borderId="14" applyNumberFormat="0" applyAlignment="0" applyProtection="0"/>
    <xf numFmtId="0" fontId="25" fillId="14" borderId="15" applyNumberFormat="0" applyAlignment="0" applyProtection="0"/>
    <xf numFmtId="0" fontId="26" fillId="14" borderId="14" applyNumberFormat="0" applyAlignment="0" applyProtection="0"/>
    <xf numFmtId="0" fontId="27" fillId="0" borderId="16" applyNumberFormat="0" applyFill="0" applyAlignment="0" applyProtection="0"/>
    <xf numFmtId="0" fontId="28" fillId="15" borderId="17" applyNumberFormat="0" applyAlignment="0" applyProtection="0"/>
    <xf numFmtId="0" fontId="29" fillId="0" borderId="0" applyNumberFormat="0" applyFill="0" applyBorder="0" applyAlignment="0" applyProtection="0"/>
    <xf numFmtId="0" fontId="6" fillId="16" borderId="18" applyNumberFormat="0" applyFont="0" applyAlignment="0" applyProtection="0"/>
    <xf numFmtId="0" fontId="30" fillId="0" borderId="0" applyNumberFormat="0" applyFill="0" applyBorder="0" applyAlignment="0" applyProtection="0"/>
    <xf numFmtId="0" fontId="5" fillId="0" borderId="19" applyNumberFormat="0" applyFill="0" applyAlignment="0" applyProtection="0"/>
    <xf numFmtId="0" fontId="14"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4"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4"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4"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4"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14"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cellStyleXfs>
  <cellXfs count="65">
    <xf numFmtId="0" fontId="0" fillId="0" borderId="0" xfId="0"/>
    <xf numFmtId="0" fontId="1" fillId="0" borderId="0" xfId="0" applyFont="1" applyAlignment="1">
      <alignment horizontal="left"/>
    </xf>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9" fillId="0" borderId="0" xfId="0" applyFont="1"/>
    <xf numFmtId="0" fontId="10" fillId="0" borderId="0" xfId="1" applyFont="1" applyAlignment="1" applyProtection="1"/>
    <xf numFmtId="0" fontId="2" fillId="0" borderId="0" xfId="0" applyFont="1" applyAlignment="1">
      <alignment horizontal="center" vertical="center"/>
    </xf>
    <xf numFmtId="0" fontId="2" fillId="0" borderId="0" xfId="0" applyFont="1"/>
    <xf numFmtId="0" fontId="11" fillId="0" borderId="0" xfId="0" applyFont="1"/>
    <xf numFmtId="0" fontId="2" fillId="0" borderId="0" xfId="0" applyFont="1" applyAlignment="1">
      <alignment vertical="top"/>
    </xf>
    <xf numFmtId="0" fontId="13" fillId="0" borderId="0" xfId="0" applyFont="1" applyAlignment="1">
      <alignment vertical="center"/>
    </xf>
    <xf numFmtId="0" fontId="12" fillId="0" borderId="0" xfId="0" applyFont="1" applyAlignment="1">
      <alignment horizontal="left" vertical="top" wrapText="1" indent="1"/>
    </xf>
    <xf numFmtId="0" fontId="0" fillId="0" borderId="0" xfId="0" applyAlignment="1">
      <alignment vertical="top" wrapText="1"/>
    </xf>
    <xf numFmtId="0" fontId="14" fillId="0" borderId="0" xfId="3"/>
    <xf numFmtId="0" fontId="14" fillId="0" borderId="0" xfId="3" applyAlignment="1">
      <alignment wrapText="1"/>
    </xf>
    <xf numFmtId="0" fontId="14" fillId="0" borderId="0" xfId="0" applyNumberFormat="1" applyFont="1" applyAlignment="1">
      <alignment horizontal="center"/>
    </xf>
    <xf numFmtId="0" fontId="8" fillId="0" borderId="0" xfId="5" applyAlignment="1">
      <alignment horizontal="left"/>
    </xf>
    <xf numFmtId="0" fontId="7" fillId="0" borderId="0" xfId="6"/>
    <xf numFmtId="0" fontId="7" fillId="0" borderId="0" xfId="7">
      <alignment vertical="top"/>
    </xf>
    <xf numFmtId="0" fontId="0" fillId="0" borderId="0" xfId="0"/>
    <xf numFmtId="0" fontId="0" fillId="0" borderId="5" xfId="0" applyBorder="1"/>
    <xf numFmtId="0" fontId="0" fillId="0" borderId="6" xfId="0" applyBorder="1"/>
    <xf numFmtId="0" fontId="0" fillId="0" borderId="5" xfId="0" applyBorder="1" applyAlignment="1">
      <alignment horizontal="center"/>
    </xf>
    <xf numFmtId="0" fontId="0" fillId="2" borderId="0" xfId="0" applyFill="1"/>
    <xf numFmtId="0" fontId="16" fillId="3" borderId="4" xfId="0" applyFont="1" applyFill="1" applyBorder="1" applyAlignment="1">
      <alignment horizontal="center" vertical="center" shrinkToFit="1"/>
    </xf>
    <xf numFmtId="0" fontId="4" fillId="0" borderId="0" xfId="0" applyNumberFormat="1" applyFont="1" applyFill="1" applyBorder="1" applyAlignment="1">
      <alignment horizontal="center" vertical="center"/>
    </xf>
    <xf numFmtId="0" fontId="15" fillId="4" borderId="0" xfId="0" applyFont="1" applyFill="1" applyBorder="1" applyAlignment="1">
      <alignment horizontal="center" vertical="center" wrapText="1"/>
    </xf>
    <xf numFmtId="0" fontId="0" fillId="0" borderId="0" xfId="0" applyFont="1" applyFill="1" applyBorder="1" applyAlignment="1">
      <alignment horizontal="left" vertical="center" indent="1"/>
    </xf>
    <xf numFmtId="0" fontId="0" fillId="0" borderId="0" xfId="0" applyFont="1" applyFill="1" applyBorder="1"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6" fontId="0" fillId="0" borderId="0" xfId="10" applyFont="1" applyFill="1" applyBorder="1">
      <alignment horizontal="center" vertical="center"/>
    </xf>
    <xf numFmtId="0" fontId="0" fillId="0" borderId="0" xfId="0" applyFont="1" applyFill="1" applyBorder="1" applyAlignment="1">
      <alignment horizontal="center" vertical="center"/>
    </xf>
    <xf numFmtId="0" fontId="0" fillId="0" borderId="0" xfId="0" applyBorder="1"/>
    <xf numFmtId="0" fontId="0" fillId="0" borderId="10" xfId="0" applyBorder="1" applyAlignment="1">
      <alignment vertical="center"/>
    </xf>
    <xf numFmtId="0" fontId="0" fillId="2" borderId="11" xfId="0" applyFill="1" applyBorder="1" applyAlignment="1">
      <alignment horizontal="center" vertical="center"/>
    </xf>
    <xf numFmtId="0" fontId="0" fillId="0" borderId="9" xfId="0" applyBorder="1" applyAlignment="1">
      <alignment horizontal="center" vertical="center"/>
    </xf>
    <xf numFmtId="0" fontId="7" fillId="0" borderId="0" xfId="7" applyAlignment="1"/>
    <xf numFmtId="0" fontId="0" fillId="2" borderId="0" xfId="0" applyFill="1" applyAlignment="1">
      <alignment horizontal="center"/>
    </xf>
    <xf numFmtId="0" fontId="19" fillId="0" borderId="0" xfId="0" applyFont="1"/>
    <xf numFmtId="0" fontId="0" fillId="0" borderId="12" xfId="0" applyNumberFormat="1" applyBorder="1" applyAlignment="1">
      <alignment horizontal="center" vertical="center"/>
    </xf>
    <xf numFmtId="0" fontId="2" fillId="3" borderId="2"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2" fillId="3" borderId="3" xfId="0" applyNumberFormat="1" applyFont="1" applyFill="1" applyBorder="1" applyAlignment="1">
      <alignment horizontal="center" vertical="center"/>
    </xf>
    <xf numFmtId="0" fontId="4" fillId="2" borderId="13" xfId="0" applyNumberFormat="1" applyFont="1" applyFill="1" applyBorder="1" applyAlignment="1">
      <alignment horizontal="center" vertical="center"/>
    </xf>
    <xf numFmtId="0" fontId="4" fillId="0" borderId="0" xfId="0" applyFont="1" applyAlignment="1">
      <alignment vertical="top"/>
    </xf>
    <xf numFmtId="165" fontId="16" fillId="3" borderId="2" xfId="0" applyNumberFormat="1" applyFont="1" applyFill="1" applyBorder="1" applyAlignment="1">
      <alignment horizontal="center" vertical="center"/>
    </xf>
    <xf numFmtId="165" fontId="16" fillId="3" borderId="0" xfId="0" applyNumberFormat="1" applyFont="1" applyFill="1" applyBorder="1" applyAlignment="1">
      <alignment horizontal="center" vertical="center"/>
    </xf>
    <xf numFmtId="165" fontId="16" fillId="3" borderId="3" xfId="0" applyNumberFormat="1" applyFont="1" applyFill="1" applyBorder="1" applyAlignment="1">
      <alignment horizontal="center" vertical="center"/>
    </xf>
    <xf numFmtId="0" fontId="0" fillId="0" borderId="0" xfId="0" applyAlignment="1">
      <alignment horizontal="center" vertical="center"/>
    </xf>
    <xf numFmtId="0" fontId="0" fillId="0" borderId="0" xfId="0" applyFont="1" applyFill="1" applyBorder="1" applyAlignment="1">
      <alignment horizontal="left" vertical="center" wrapText="1" indent="2"/>
    </xf>
    <xf numFmtId="0" fontId="18" fillId="8" borderId="0" xfId="0" applyFont="1" applyFill="1" applyAlignment="1">
      <alignment horizontal="center" vertical="center"/>
    </xf>
    <xf numFmtId="0" fontId="17" fillId="5" borderId="0" xfId="0" applyFont="1" applyFill="1" applyAlignment="1">
      <alignment horizontal="center" vertical="center"/>
    </xf>
    <xf numFmtId="0" fontId="0" fillId="0" borderId="0" xfId="8" applyFont="1">
      <alignment horizontal="right" vertical="center" indent="1"/>
    </xf>
    <xf numFmtId="0" fontId="6" fillId="0" borderId="0" xfId="8" applyBorder="1">
      <alignment horizontal="right" vertical="center" indent="1"/>
    </xf>
    <xf numFmtId="0" fontId="0" fillId="0" borderId="0" xfId="0" applyBorder="1"/>
    <xf numFmtId="14" fontId="6" fillId="0" borderId="7" xfId="9" applyBorder="1">
      <alignment horizontal="center" vertical="center"/>
    </xf>
    <xf numFmtId="14" fontId="6" fillId="0" borderId="8" xfId="9" applyBorder="1">
      <alignment horizontal="center" vertical="center"/>
    </xf>
    <xf numFmtId="0" fontId="18" fillId="6" borderId="0" xfId="0" applyFont="1" applyFill="1" applyAlignment="1">
      <alignment horizontal="center" vertical="center"/>
    </xf>
    <xf numFmtId="0" fontId="17" fillId="7" borderId="0" xfId="0" applyFont="1" applyFill="1" applyAlignment="1">
      <alignment horizontal="center" vertical="center"/>
    </xf>
    <xf numFmtId="0" fontId="18" fillId="9" borderId="0" xfId="0" applyFont="1" applyFill="1" applyAlignment="1">
      <alignment horizontal="center" vertical="center"/>
    </xf>
    <xf numFmtId="9" fontId="0" fillId="0" borderId="0" xfId="0" applyNumberFormat="1"/>
    <xf numFmtId="14" fontId="0" fillId="0" borderId="0" xfId="0" applyNumberFormat="1"/>
    <xf numFmtId="0" fontId="0" fillId="0" borderId="0" xfId="0" applyFont="1" applyFill="1" applyBorder="1" applyAlignment="1">
      <alignment horizontal="left" vertical="center" wrapText="1" indent="1"/>
    </xf>
  </cellXfs>
  <cellStyles count="50">
    <cellStyle name="20% — akcent 1" xfId="27" builtinId="30" customBuiltin="1"/>
    <cellStyle name="20% — akcent 2" xfId="31" builtinId="34" customBuiltin="1"/>
    <cellStyle name="20% — akcent 3" xfId="35" builtinId="38" customBuiltin="1"/>
    <cellStyle name="20% — akcent 4" xfId="39" builtinId="42" customBuiltin="1"/>
    <cellStyle name="20% — akcent 5" xfId="43" builtinId="46" customBuiltin="1"/>
    <cellStyle name="20% — akcent 6" xfId="47" builtinId="50" customBuiltin="1"/>
    <cellStyle name="40% — akcent 1" xfId="28" builtinId="31" customBuiltin="1"/>
    <cellStyle name="40% — akcent 2" xfId="32" builtinId="35" customBuiltin="1"/>
    <cellStyle name="40% — akcent 3" xfId="36" builtinId="39" customBuiltin="1"/>
    <cellStyle name="40% — akcent 4" xfId="40" builtinId="43" customBuiltin="1"/>
    <cellStyle name="40% — akcent 5" xfId="44" builtinId="47" customBuiltin="1"/>
    <cellStyle name="40% — akcent 6" xfId="48" builtinId="51" customBuiltin="1"/>
    <cellStyle name="60% — akcent 1" xfId="29" builtinId="32" customBuiltin="1"/>
    <cellStyle name="60% — akcent 2" xfId="33" builtinId="36" customBuiltin="1"/>
    <cellStyle name="60% — akcent 3" xfId="37" builtinId="40" customBuiltin="1"/>
    <cellStyle name="60% — akcent 4" xfId="41" builtinId="44" customBuiltin="1"/>
    <cellStyle name="60% — akcent 5" xfId="45" builtinId="48" customBuiltin="1"/>
    <cellStyle name="60% — akcent 6" xfId="49" builtinId="52" customBuiltin="1"/>
    <cellStyle name="Akcent 1" xfId="26" builtinId="29" customBuiltin="1"/>
    <cellStyle name="Akcent 2" xfId="30" builtinId="33" customBuiltin="1"/>
    <cellStyle name="Akcent 3" xfId="34" builtinId="37" customBuiltin="1"/>
    <cellStyle name="Akcent 4" xfId="38" builtinId="41" customBuiltin="1"/>
    <cellStyle name="Akcent 5" xfId="42" builtinId="45" customBuiltin="1"/>
    <cellStyle name="Akcent 6" xfId="46" builtinId="49" customBuiltin="1"/>
    <cellStyle name="Dane wejściowe" xfId="17" builtinId="20" customBuiltin="1"/>
    <cellStyle name="Dane wyjściowe" xfId="18" builtinId="21" customBuiltin="1"/>
    <cellStyle name="Data" xfId="9"/>
    <cellStyle name="Dobry" xfId="14" builtinId="26" customBuiltin="1"/>
    <cellStyle name="Dziesiętny" xfId="4" builtinId="3" customBuiltin="1"/>
    <cellStyle name="Dziesiętny [0]" xfId="10" builtinId="6" customBuiltin="1"/>
    <cellStyle name="Hiperłącze" xfId="1" builtinId="8" customBuiltin="1"/>
    <cellStyle name="Komórka połączona" xfId="20" builtinId="24" customBuiltin="1"/>
    <cellStyle name="Komórka zaznaczona" xfId="21" builtinId="23" customBuiltin="1"/>
    <cellStyle name="Nagłówek 1" xfId="6" builtinId="16" customBuiltin="1"/>
    <cellStyle name="Nagłówek 2" xfId="7" builtinId="17" customBuiltin="1"/>
    <cellStyle name="Nagłówek 3" xfId="8" builtinId="18" customBuiltin="1"/>
    <cellStyle name="Nagłówek 4" xfId="13" builtinId="19" customBuiltin="1"/>
    <cellStyle name="Neutralny" xfId="16" builtinId="28" customBuiltin="1"/>
    <cellStyle name="Normalny" xfId="0" builtinId="0" customBuiltin="1"/>
    <cellStyle name="Obliczenia" xfId="19" builtinId="22" customBuiltin="1"/>
    <cellStyle name="Procentowy" xfId="2" builtinId="5" customBuiltin="1"/>
    <cellStyle name="Suma" xfId="25" builtinId="25" customBuiltin="1"/>
    <cellStyle name="Tekst objaśnienia" xfId="24" builtinId="53" customBuiltin="1"/>
    <cellStyle name="Tekst ostrzeżenia" xfId="22" builtinId="11" customBuiltin="1"/>
    <cellStyle name="Tytuł" xfId="5" builtinId="15" customBuiltin="1"/>
    <cellStyle name="Uwaga" xfId="23" builtinId="10" customBuiltin="1"/>
    <cellStyle name="Walutowy" xfId="11" builtinId="4" customBuiltin="1"/>
    <cellStyle name="Walutowy [0]" xfId="12" builtinId="7" customBuiltin="1"/>
    <cellStyle name="Zły" xfId="15" builtinId="27" customBuiltin="1"/>
    <cellStyle name="zUkryty_tekst" xfId="3"/>
  </cellStyles>
  <dxfs count="29">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6" tint="0.59996337778862885"/>
        </patternFill>
      </fill>
      <border>
        <top style="thin">
          <color theme="0"/>
        </top>
        <bottom style="thin">
          <color theme="0"/>
        </bottom>
        <vertical/>
        <horizontal/>
      </border>
    </dxf>
    <dxf>
      <fill>
        <patternFill>
          <bgColor theme="6" tint="0.39994506668294322"/>
        </patternFill>
      </fill>
      <border>
        <top style="thin">
          <color theme="0"/>
        </top>
        <bottom style="thin">
          <color theme="0"/>
        </bottom>
      </border>
    </dxf>
    <dxf>
      <fill>
        <patternFill>
          <bgColor theme="6" tint="0.79998168889431442"/>
        </patternFill>
      </fill>
      <border>
        <top style="thin">
          <color theme="0"/>
        </top>
        <bottom style="thin">
          <color theme="0"/>
        </bottom>
      </border>
    </dxf>
    <dxf>
      <font>
        <b/>
        <i val="0"/>
        <color theme="0"/>
      </font>
      <border>
        <left style="thin">
          <color rgb="FFC00000"/>
        </left>
        <right style="thin">
          <color rgb="FFC00000"/>
        </right>
        <vertical/>
        <horizontal/>
      </border>
    </dxf>
    <dxf>
      <numFmt numFmtId="166" formatCode="#,##0_ ;\-#,##0\ "/>
    </dxf>
    <dxf>
      <numFmt numFmtId="0" formatCode="General"/>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1" justifyLastLine="0" shrinkToFit="0" readingOrder="0"/>
    </dxf>
    <dxf>
      <alignment horizontal="left" vertical="center" textRotation="0" wrapText="1" relativeIndent="1" justifyLastLine="0" shrinkToFit="0" readingOrder="0"/>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3" tint="-0.24994659260841701"/>
      </font>
      <border diagonalUp="0" diagonalDown="0">
        <left/>
        <right style="thin">
          <color theme="6" tint="0.39994506668294322"/>
        </right>
        <top/>
        <bottom/>
        <vertical/>
        <horizontal/>
      </border>
    </dxf>
  </dxfs>
  <tableStyles count="2" defaultPivotStyle="PivotStyleLight16">
    <tableStyle name="Styl tabeli Gantta" pivot="0" count="3">
      <tableStyleElement type="wholeTable" dxfId="28"/>
      <tableStyleElement type="headerRow" dxfId="27"/>
      <tableStyleElement type="firstRowStripe" dxfId="26"/>
    </tableStyle>
    <tableStyle name="Lista_zadań_do_wykonania" pivot="0" count="9">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39" fmlaLink="$F$4"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5</xdr:row>
          <xdr:rowOff>57150</xdr:rowOff>
        </xdr:from>
        <xdr:to>
          <xdr:col>63</xdr:col>
          <xdr:colOff>342900</xdr:colOff>
          <xdr:row>5</xdr:row>
          <xdr:rowOff>238125</xdr:rowOff>
        </xdr:to>
        <xdr:sp macro="" textlink="">
          <xdr:nvSpPr>
            <xdr:cNvPr id="6149" name="Pasek przewijania 5" descr="Pasek przewijania do przewijania osi czasu projektu Gantta."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id="1" name="Punkty_kontrolne" displayName="Punkty_kontrolne" ref="B7:G23">
  <autoFilter ref="B7:G23">
    <filterColumn colId="0" hiddenButton="1"/>
    <filterColumn colId="1" hiddenButton="1"/>
    <filterColumn colId="2" hiddenButton="1"/>
    <filterColumn colId="3" hiddenButton="1"/>
    <filterColumn colId="4" hiddenButton="1"/>
    <filterColumn colId="5" hiddenButton="1"/>
  </autoFilter>
  <tableColumns count="6">
    <tableColumn id="1" name="Opis punktu kontrolnego" totalsRowLabel="Suma" dataDxfId="16" totalsRowDxfId="15"/>
    <tableColumn id="2" name="Kategoria" dataDxfId="14" totalsRowDxfId="13"/>
    <tableColumn id="3" name="Przypisane do" dataDxfId="12" totalsRowDxfId="11"/>
    <tableColumn id="4" name="Postęp"/>
    <tableColumn id="5" name="Start" totalsRowDxfId="10" dataCellStyle="Data"/>
    <tableColumn id="6" name="Liczba dni" totalsRowFunction="sum" totalsRowDxfId="9"/>
  </tableColumns>
  <tableStyleInfo name="Styl tabeli Gantta" showFirstColumn="1" showLastColumn="0" showRowStripes="1" showColumnStripes="0"/>
  <extLst>
    <ext xmlns:x14="http://schemas.microsoft.com/office/spreadsheetml/2009/9/main" uri="{504A1905-F514-4f6f-8877-14C23A59335A}">
      <x14:table altTextSummary="W tej tabeli wprowadź informacje o projekcie. W kolumnie w obszarze Opis wprowadź opis kamienia milowego dla etapu, zadania, aktywności itp. Wybierz kategorię w kolumnie Kategoria. Przypisz element jakiejś osobie w kolumnie Przydzielone do. Zaktualizuj postęp i obserwuj automatyczną aktualizację pasków danych w kolumnie Postęp. Wprowadź datę rozpoczęcia w kolumnie Start i liczbę dni w odpowiedniej kolumnie. Dane Gantta w komórkach od J9 do BM34 zostaną zaktualizowane automatycznie. Dodaj nowe wiersze do tabeli, aby dodać więcej zadań."/>
    </ext>
  </extLst>
</table>
</file>

<file path=xl/theme/theme1.xml><?xml version="1.0" encoding="utf-8"?>
<a:theme xmlns:a="http://schemas.openxmlformats.org/drawingml/2006/main" name="Attitude">
  <a:themeElements>
    <a:clrScheme name="Attitude">
      <a:dk1>
        <a:sysClr val="windowText" lastClr="000000"/>
      </a:dk1>
      <a:lt1>
        <a:sysClr val="window" lastClr="FFFFFF"/>
      </a:lt1>
      <a:dk2>
        <a:srgbClr val="44546A"/>
      </a:dk2>
      <a:lt2>
        <a:srgbClr val="E7E6E6"/>
      </a:lt2>
      <a:accent1>
        <a:srgbClr val="1180AE"/>
      </a:accent1>
      <a:accent2>
        <a:srgbClr val="6C5B97"/>
      </a:accent2>
      <a:accent3>
        <a:srgbClr val="FCB239"/>
      </a:accent3>
      <a:accent4>
        <a:srgbClr val="D74061"/>
      </a:accent4>
      <a:accent5>
        <a:srgbClr val="F37A29"/>
      </a:accent5>
      <a:accent6>
        <a:srgbClr val="B66BA3"/>
      </a:accent6>
      <a:hlink>
        <a:srgbClr val="D2B356"/>
      </a:hlink>
      <a:folHlink>
        <a:srgbClr val="C5916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L26"/>
  <sheetViews>
    <sheetView showGridLines="0" tabSelected="1" showRuler="0" topLeftCell="A9" zoomScaleNormal="100" zoomScalePageLayoutView="70" workbookViewId="0">
      <selection activeCell="A24" sqref="A24:XFD24"/>
    </sheetView>
  </sheetViews>
  <sheetFormatPr defaultRowHeight="30" customHeight="1" x14ac:dyDescent="0.25"/>
  <cols>
    <col min="1" max="1" width="2.7109375" style="14" customWidth="1"/>
    <col min="2" max="2" width="26.28515625" customWidth="1"/>
    <col min="3" max="3" width="16.5703125" style="20" customWidth="1"/>
    <col min="4" max="4" width="20.5703125" customWidth="1"/>
    <col min="5" max="5" width="10.7109375" customWidth="1"/>
    <col min="6" max="6" width="10.42578125" style="3" customWidth="1"/>
    <col min="7" max="7" width="10.42578125" customWidth="1"/>
    <col min="8" max="8" width="2.7109375" customWidth="1"/>
    <col min="9" max="64" width="5.28515625" customWidth="1"/>
    <col min="69" max="70" width="10.28515625"/>
  </cols>
  <sheetData>
    <row r="1" spans="1:64" ht="30" customHeight="1" x14ac:dyDescent="0.45">
      <c r="A1" s="15" t="s">
        <v>0</v>
      </c>
      <c r="B1" s="17" t="s">
        <v>10</v>
      </c>
      <c r="C1" s="17"/>
      <c r="D1" s="1"/>
      <c r="F1"/>
      <c r="G1" s="7"/>
      <c r="I1" s="38" t="s">
        <v>27</v>
      </c>
      <c r="J1" s="8"/>
      <c r="K1" s="20"/>
      <c r="L1" s="20"/>
      <c r="M1" s="20"/>
      <c r="N1" s="20"/>
      <c r="O1" s="20"/>
      <c r="P1" s="20"/>
      <c r="Q1" s="20"/>
      <c r="R1" s="20"/>
      <c r="S1" s="20"/>
      <c r="T1" s="20"/>
      <c r="U1" s="20"/>
      <c r="V1" s="20"/>
      <c r="W1" s="20"/>
      <c r="X1" s="20"/>
      <c r="Y1" s="20"/>
      <c r="Z1" s="20"/>
      <c r="AA1" s="20"/>
      <c r="AB1" s="20"/>
      <c r="AC1" s="20"/>
      <c r="AD1" s="20"/>
      <c r="AE1" s="20"/>
      <c r="AF1" s="20"/>
      <c r="AG1" s="20"/>
    </row>
    <row r="2" spans="1:64" ht="30" customHeight="1" x14ac:dyDescent="0.3">
      <c r="A2" s="15" t="s">
        <v>1</v>
      </c>
      <c r="B2" s="18" t="s">
        <v>11</v>
      </c>
      <c r="C2" s="18"/>
      <c r="F2" s="23"/>
      <c r="G2" s="21"/>
      <c r="I2" s="59" t="s">
        <v>20</v>
      </c>
      <c r="J2" s="59"/>
      <c r="K2" s="59"/>
      <c r="L2" s="59"/>
      <c r="N2" s="60" t="s">
        <v>17</v>
      </c>
      <c r="O2" s="60"/>
      <c r="P2" s="60"/>
      <c r="Q2" s="60"/>
      <c r="R2" s="20"/>
      <c r="S2" s="61" t="s">
        <v>18</v>
      </c>
      <c r="T2" s="61"/>
      <c r="U2" s="61"/>
      <c r="V2" s="61"/>
      <c r="W2" s="20"/>
      <c r="X2" s="52" t="s">
        <v>19</v>
      </c>
      <c r="Y2" s="52"/>
      <c r="Z2" s="52"/>
      <c r="AA2" s="52"/>
      <c r="AB2" s="20"/>
      <c r="AC2" s="53" t="s">
        <v>28</v>
      </c>
      <c r="AD2" s="53"/>
      <c r="AE2" s="53"/>
      <c r="AF2" s="53"/>
    </row>
    <row r="3" spans="1:64" ht="30" customHeight="1" x14ac:dyDescent="0.25">
      <c r="A3" s="15" t="s">
        <v>2</v>
      </c>
      <c r="B3" s="19" t="s">
        <v>12</v>
      </c>
      <c r="C3" s="19"/>
      <c r="D3" s="54" t="s">
        <v>21</v>
      </c>
      <c r="E3" s="55"/>
      <c r="F3" s="57">
        <v>46167</v>
      </c>
      <c r="G3" s="58"/>
      <c r="H3" s="22"/>
    </row>
    <row r="4" spans="1:64" ht="30" customHeight="1" x14ac:dyDescent="0.35">
      <c r="A4" s="15" t="s">
        <v>3</v>
      </c>
      <c r="D4" s="54" t="s">
        <v>22</v>
      </c>
      <c r="E4" s="55"/>
      <c r="F4" s="41">
        <v>0</v>
      </c>
      <c r="I4" s="40" t="str">
        <f ca="1">TEXT(I5,"mmmm")</f>
        <v>maj</v>
      </c>
      <c r="J4" s="40"/>
      <c r="K4" s="40"/>
      <c r="L4" s="40"/>
      <c r="M4" s="40"/>
      <c r="N4" s="40"/>
      <c r="O4" s="40"/>
      <c r="P4" s="40" t="str">
        <f ca="1">IF(TEXT(P5,"mmmm")=I4,"",TEXT(P5,"mmmm"))</f>
        <v>czerwiec</v>
      </c>
      <c r="Q4" s="40"/>
      <c r="R4" s="40"/>
      <c r="S4" s="40"/>
      <c r="T4" s="40"/>
      <c r="U4" s="40"/>
      <c r="V4" s="40"/>
      <c r="W4" s="40" t="str">
        <f ca="1">IF(OR(TEXT(W5,"mmmm")=P4,TEXT(W5,"mmmm")=I4),"",TEXT(W5,"mmmm"))</f>
        <v/>
      </c>
      <c r="X4" s="40"/>
      <c r="Y4" s="40"/>
      <c r="Z4" s="40"/>
      <c r="AA4" s="40"/>
      <c r="AB4" s="40"/>
      <c r="AC4" s="40"/>
      <c r="AD4" s="40" t="str">
        <f ca="1">IF(OR(TEXT(AD5,"mmmm")=W4,TEXT(AD5,"mmmm")=P4,TEXT(AD5,"mmmm")=I4),"",TEXT(AD5,"mmmm"))</f>
        <v/>
      </c>
      <c r="AE4" s="40"/>
      <c r="AF4" s="40"/>
      <c r="AG4" s="40"/>
      <c r="AH4" s="40"/>
      <c r="AI4" s="40"/>
      <c r="AJ4" s="40"/>
      <c r="AK4" s="40" t="str">
        <f ca="1">IF(OR(TEXT(AK5,"mmmm")=AD4,TEXT(AK5,"mmmm")=W4,TEXT(AK5,"mmmm")=P4,TEXT(AK5,"mmmm")=I4),"",TEXT(AK5,"mmmm"))</f>
        <v/>
      </c>
      <c r="AL4" s="40"/>
      <c r="AM4" s="40"/>
      <c r="AN4" s="40"/>
      <c r="AO4" s="40"/>
      <c r="AP4" s="40"/>
      <c r="AQ4" s="40"/>
      <c r="AR4" s="40" t="str">
        <f ca="1">IF(OR(TEXT(AR5,"mmmm")=AK4,TEXT(AR5,"mmmm")=AD4,TEXT(AR5,"mmmm")=W4,TEXT(AR5,"mmmm")=P4),"",TEXT(AR5,"mmmm"))</f>
        <v/>
      </c>
      <c r="AS4" s="40"/>
      <c r="AT4" s="40"/>
      <c r="AU4" s="40"/>
      <c r="AV4" s="40"/>
      <c r="AW4" s="40"/>
      <c r="AX4" s="40"/>
      <c r="AY4" s="40" t="str">
        <f ca="1">IF(OR(TEXT(AY5,"mmmm")=AR4,TEXT(AY5,"mmmm")=AK4,TEXT(AY5,"mmmm")=AD4,TEXT(AY5,"mmmm")=W4),"",TEXT(AY5,"mmmm"))</f>
        <v>lipiec</v>
      </c>
      <c r="AZ4" s="40"/>
      <c r="BA4" s="40"/>
      <c r="BB4" s="40"/>
      <c r="BC4" s="40"/>
      <c r="BD4" s="40"/>
      <c r="BE4" s="40"/>
      <c r="BF4" s="40" t="str">
        <f ca="1">IF(OR(TEXT(BF5,"mmmm")=AY4,TEXT(BF5,"mmmm")=AR4,TEXT(BF5,"mmmm")=AK4,TEXT(BF5,"mmmm")=AD4),"",TEXT(BF5,"mmmm"))</f>
        <v/>
      </c>
      <c r="BG4" s="40"/>
      <c r="BH4" s="40"/>
      <c r="BI4" s="40"/>
      <c r="BJ4" s="40"/>
      <c r="BK4" s="40"/>
      <c r="BL4" s="40"/>
    </row>
    <row r="5" spans="1:64" ht="15" customHeight="1" x14ac:dyDescent="0.25">
      <c r="A5" s="15" t="s">
        <v>4</v>
      </c>
      <c r="B5" s="56"/>
      <c r="C5" s="56"/>
      <c r="D5" s="56"/>
      <c r="E5" s="56"/>
      <c r="F5" s="56"/>
      <c r="G5" s="56"/>
      <c r="H5" s="56"/>
      <c r="I5" s="47">
        <f ca="1">IFERROR(Projekt_start+Przewijanie_przyrostu,TODAY())</f>
        <v>46167</v>
      </c>
      <c r="J5" s="48">
        <f ca="1">I5+1</f>
        <v>46168</v>
      </c>
      <c r="K5" s="48">
        <f t="shared" ref="K5:AX5" ca="1" si="0">J5+1</f>
        <v>46169</v>
      </c>
      <c r="L5" s="48">
        <f t="shared" ca="1" si="0"/>
        <v>46170</v>
      </c>
      <c r="M5" s="48">
        <f t="shared" ca="1" si="0"/>
        <v>46171</v>
      </c>
      <c r="N5" s="48">
        <f t="shared" ca="1" si="0"/>
        <v>46172</v>
      </c>
      <c r="O5" s="49">
        <f t="shared" ca="1" si="0"/>
        <v>46173</v>
      </c>
      <c r="P5" s="47">
        <f ca="1">O5+1</f>
        <v>46174</v>
      </c>
      <c r="Q5" s="48">
        <f ca="1">P5+1</f>
        <v>46175</v>
      </c>
      <c r="R5" s="48">
        <f t="shared" ca="1" si="0"/>
        <v>46176</v>
      </c>
      <c r="S5" s="48">
        <f t="shared" ca="1" si="0"/>
        <v>46177</v>
      </c>
      <c r="T5" s="48">
        <f t="shared" ca="1" si="0"/>
        <v>46178</v>
      </c>
      <c r="U5" s="48">
        <f t="shared" ca="1" si="0"/>
        <v>46179</v>
      </c>
      <c r="V5" s="49">
        <f t="shared" ca="1" si="0"/>
        <v>46180</v>
      </c>
      <c r="W5" s="47">
        <f ca="1">V5+1</f>
        <v>46181</v>
      </c>
      <c r="X5" s="48">
        <f ca="1">W5+1</f>
        <v>46182</v>
      </c>
      <c r="Y5" s="48">
        <f t="shared" ca="1" si="0"/>
        <v>46183</v>
      </c>
      <c r="Z5" s="48">
        <f t="shared" ca="1" si="0"/>
        <v>46184</v>
      </c>
      <c r="AA5" s="48">
        <f t="shared" ca="1" si="0"/>
        <v>46185</v>
      </c>
      <c r="AB5" s="48">
        <f t="shared" ca="1" si="0"/>
        <v>46186</v>
      </c>
      <c r="AC5" s="49">
        <f t="shared" ca="1" si="0"/>
        <v>46187</v>
      </c>
      <c r="AD5" s="47">
        <f ca="1">AC5+1</f>
        <v>46188</v>
      </c>
      <c r="AE5" s="48">
        <f ca="1">AD5+1</f>
        <v>46189</v>
      </c>
      <c r="AF5" s="48">
        <f t="shared" ca="1" si="0"/>
        <v>46190</v>
      </c>
      <c r="AG5" s="48">
        <f t="shared" ca="1" si="0"/>
        <v>46191</v>
      </c>
      <c r="AH5" s="48">
        <f t="shared" ca="1" si="0"/>
        <v>46192</v>
      </c>
      <c r="AI5" s="48">
        <f t="shared" ca="1" si="0"/>
        <v>46193</v>
      </c>
      <c r="AJ5" s="49">
        <f t="shared" ca="1" si="0"/>
        <v>46194</v>
      </c>
      <c r="AK5" s="47">
        <f ca="1">AJ5+1</f>
        <v>46195</v>
      </c>
      <c r="AL5" s="48">
        <f ca="1">AK5+1</f>
        <v>46196</v>
      </c>
      <c r="AM5" s="48">
        <f t="shared" ca="1" si="0"/>
        <v>46197</v>
      </c>
      <c r="AN5" s="48">
        <f t="shared" ca="1" si="0"/>
        <v>46198</v>
      </c>
      <c r="AO5" s="48">
        <f t="shared" ca="1" si="0"/>
        <v>46199</v>
      </c>
      <c r="AP5" s="48">
        <f t="shared" ca="1" si="0"/>
        <v>46200</v>
      </c>
      <c r="AQ5" s="49">
        <f t="shared" ca="1" si="0"/>
        <v>46201</v>
      </c>
      <c r="AR5" s="47">
        <f ca="1">AQ5+1</f>
        <v>46202</v>
      </c>
      <c r="AS5" s="48">
        <f ca="1">AR5+1</f>
        <v>46203</v>
      </c>
      <c r="AT5" s="48">
        <f t="shared" ca="1" si="0"/>
        <v>46204</v>
      </c>
      <c r="AU5" s="48">
        <f t="shared" ca="1" si="0"/>
        <v>46205</v>
      </c>
      <c r="AV5" s="48">
        <f t="shared" ca="1" si="0"/>
        <v>46206</v>
      </c>
      <c r="AW5" s="48">
        <f t="shared" ca="1" si="0"/>
        <v>46207</v>
      </c>
      <c r="AX5" s="49">
        <f t="shared" ca="1" si="0"/>
        <v>46208</v>
      </c>
      <c r="AY5" s="47">
        <f ca="1">AX5+1</f>
        <v>46209</v>
      </c>
      <c r="AZ5" s="48">
        <f ca="1">AY5+1</f>
        <v>46210</v>
      </c>
      <c r="BA5" s="48">
        <f t="shared" ref="BA5:BE5" ca="1" si="1">AZ5+1</f>
        <v>46211</v>
      </c>
      <c r="BB5" s="48">
        <f t="shared" ca="1" si="1"/>
        <v>46212</v>
      </c>
      <c r="BC5" s="48">
        <f t="shared" ca="1" si="1"/>
        <v>46213</v>
      </c>
      <c r="BD5" s="48">
        <f t="shared" ca="1" si="1"/>
        <v>46214</v>
      </c>
      <c r="BE5" s="49">
        <f t="shared" ca="1" si="1"/>
        <v>46215</v>
      </c>
      <c r="BF5" s="47">
        <f ca="1">BE5+1</f>
        <v>46216</v>
      </c>
      <c r="BG5" s="48">
        <f ca="1">BF5+1</f>
        <v>46217</v>
      </c>
      <c r="BH5" s="48">
        <f t="shared" ref="BH5:BL5" ca="1" si="2">BG5+1</f>
        <v>46218</v>
      </c>
      <c r="BI5" s="48">
        <f t="shared" ca="1" si="2"/>
        <v>46219</v>
      </c>
      <c r="BJ5" s="48">
        <f t="shared" ca="1" si="2"/>
        <v>46220</v>
      </c>
      <c r="BK5" s="48">
        <f t="shared" ca="1" si="2"/>
        <v>46221</v>
      </c>
      <c r="BL5" s="49">
        <f t="shared" ca="1" si="2"/>
        <v>46222</v>
      </c>
    </row>
    <row r="6" spans="1:64" s="20" customFormat="1" ht="25.15" customHeight="1" x14ac:dyDescent="0.25">
      <c r="A6" s="15" t="s">
        <v>5</v>
      </c>
      <c r="B6" s="34"/>
      <c r="C6" s="34"/>
      <c r="D6" s="34"/>
      <c r="E6" s="34"/>
      <c r="F6" s="34"/>
      <c r="G6" s="34"/>
      <c r="H6" s="34"/>
      <c r="I6" s="42"/>
      <c r="J6" s="43"/>
      <c r="K6" s="43"/>
      <c r="L6" s="43"/>
      <c r="M6" s="43"/>
      <c r="N6" s="43"/>
      <c r="O6" s="44"/>
      <c r="P6" s="42"/>
      <c r="Q6" s="43"/>
      <c r="R6" s="43"/>
      <c r="S6" s="43"/>
      <c r="T6" s="43"/>
      <c r="U6" s="43"/>
      <c r="V6" s="44"/>
      <c r="W6" s="42"/>
      <c r="X6" s="43"/>
      <c r="Y6" s="43"/>
      <c r="Z6" s="43"/>
      <c r="AA6" s="43"/>
      <c r="AB6" s="43"/>
      <c r="AC6" s="44"/>
      <c r="AD6" s="42"/>
      <c r="AE6" s="43"/>
      <c r="AF6" s="43"/>
      <c r="AG6" s="43"/>
      <c r="AH6" s="43"/>
      <c r="AI6" s="43"/>
      <c r="AJ6" s="44"/>
      <c r="AK6" s="42"/>
      <c r="AL6" s="43"/>
      <c r="AM6" s="43"/>
      <c r="AN6" s="43"/>
      <c r="AO6" s="43"/>
      <c r="AP6" s="43"/>
      <c r="AQ6" s="44"/>
      <c r="AR6" s="42"/>
      <c r="AS6" s="43"/>
      <c r="AT6" s="43"/>
      <c r="AU6" s="43"/>
      <c r="AV6" s="43"/>
      <c r="AW6" s="43"/>
      <c r="AX6" s="44"/>
      <c r="AY6" s="42"/>
      <c r="AZ6" s="43"/>
      <c r="BA6" s="43"/>
      <c r="BB6" s="43"/>
      <c r="BC6" s="43"/>
      <c r="BD6" s="43"/>
      <c r="BE6" s="44"/>
      <c r="BF6" s="42"/>
      <c r="BG6" s="43"/>
      <c r="BH6" s="43"/>
      <c r="BI6" s="43"/>
      <c r="BJ6" s="43"/>
      <c r="BK6" s="43"/>
      <c r="BL6" s="44"/>
    </row>
    <row r="7" spans="1:64" ht="30.95" customHeight="1" thickBot="1" x14ac:dyDescent="0.3">
      <c r="A7" s="15" t="s">
        <v>6</v>
      </c>
      <c r="B7" s="28" t="s">
        <v>13</v>
      </c>
      <c r="C7" s="29" t="s">
        <v>15</v>
      </c>
      <c r="D7" s="29" t="s">
        <v>23</v>
      </c>
      <c r="E7" s="29" t="s">
        <v>24</v>
      </c>
      <c r="F7" s="29" t="s">
        <v>25</v>
      </c>
      <c r="G7" s="29" t="s">
        <v>26</v>
      </c>
      <c r="H7" s="27"/>
      <c r="I7" s="25" t="str">
        <f t="shared" ref="I7" ca="1" si="3">LEFT(TEXT(I5,"ddd"),1)</f>
        <v>p</v>
      </c>
      <c r="J7" s="25" t="str">
        <f t="shared" ref="J7:AR7" ca="1" si="4">LEFT(TEXT(J5,"ddd"),1)</f>
        <v>w</v>
      </c>
      <c r="K7" s="25" t="str">
        <f t="shared" ca="1" si="4"/>
        <v>ś</v>
      </c>
      <c r="L7" s="25" t="str">
        <f t="shared" ca="1" si="4"/>
        <v>c</v>
      </c>
      <c r="M7" s="25" t="str">
        <f t="shared" ca="1" si="4"/>
        <v>p</v>
      </c>
      <c r="N7" s="25" t="str">
        <f t="shared" ca="1" si="4"/>
        <v>s</v>
      </c>
      <c r="O7" s="25" t="str">
        <f t="shared" ca="1" si="4"/>
        <v>n</v>
      </c>
      <c r="P7" s="25" t="str">
        <f t="shared" ca="1" si="4"/>
        <v>p</v>
      </c>
      <c r="Q7" s="25" t="str">
        <f t="shared" ca="1" si="4"/>
        <v>w</v>
      </c>
      <c r="R7" s="25" t="str">
        <f t="shared" ca="1" si="4"/>
        <v>ś</v>
      </c>
      <c r="S7" s="25" t="str">
        <f t="shared" ca="1" si="4"/>
        <v>c</v>
      </c>
      <c r="T7" s="25" t="str">
        <f t="shared" ca="1" si="4"/>
        <v>p</v>
      </c>
      <c r="U7" s="25" t="str">
        <f t="shared" ca="1" si="4"/>
        <v>s</v>
      </c>
      <c r="V7" s="25" t="str">
        <f t="shared" ca="1" si="4"/>
        <v>n</v>
      </c>
      <c r="W7" s="25" t="str">
        <f t="shared" ca="1" si="4"/>
        <v>p</v>
      </c>
      <c r="X7" s="25" t="str">
        <f t="shared" ca="1" si="4"/>
        <v>w</v>
      </c>
      <c r="Y7" s="25" t="str">
        <f t="shared" ca="1" si="4"/>
        <v>ś</v>
      </c>
      <c r="Z7" s="25" t="str">
        <f t="shared" ca="1" si="4"/>
        <v>c</v>
      </c>
      <c r="AA7" s="25" t="str">
        <f t="shared" ca="1" si="4"/>
        <v>p</v>
      </c>
      <c r="AB7" s="25" t="str">
        <f t="shared" ca="1" si="4"/>
        <v>s</v>
      </c>
      <c r="AC7" s="25" t="str">
        <f t="shared" ca="1" si="4"/>
        <v>n</v>
      </c>
      <c r="AD7" s="25" t="str">
        <f t="shared" ca="1" si="4"/>
        <v>p</v>
      </c>
      <c r="AE7" s="25" t="str">
        <f t="shared" ca="1" si="4"/>
        <v>w</v>
      </c>
      <c r="AF7" s="25" t="str">
        <f t="shared" ca="1" si="4"/>
        <v>ś</v>
      </c>
      <c r="AG7" s="25" t="str">
        <f t="shared" ca="1" si="4"/>
        <v>c</v>
      </c>
      <c r="AH7" s="25" t="str">
        <f t="shared" ca="1" si="4"/>
        <v>p</v>
      </c>
      <c r="AI7" s="25" t="str">
        <f t="shared" ca="1" si="4"/>
        <v>s</v>
      </c>
      <c r="AJ7" s="25" t="str">
        <f t="shared" ca="1" si="4"/>
        <v>n</v>
      </c>
      <c r="AK7" s="25" t="str">
        <f t="shared" ca="1" si="4"/>
        <v>p</v>
      </c>
      <c r="AL7" s="25" t="str">
        <f t="shared" ca="1" si="4"/>
        <v>w</v>
      </c>
      <c r="AM7" s="25" t="str">
        <f t="shared" ca="1" si="4"/>
        <v>ś</v>
      </c>
      <c r="AN7" s="25" t="str">
        <f t="shared" ca="1" si="4"/>
        <v>c</v>
      </c>
      <c r="AO7" s="25" t="str">
        <f t="shared" ca="1" si="4"/>
        <v>p</v>
      </c>
      <c r="AP7" s="25" t="str">
        <f t="shared" ca="1" si="4"/>
        <v>s</v>
      </c>
      <c r="AQ7" s="25" t="str">
        <f t="shared" ca="1" si="4"/>
        <v>n</v>
      </c>
      <c r="AR7" s="25" t="str">
        <f t="shared" ca="1" si="4"/>
        <v>p</v>
      </c>
      <c r="AS7" s="25" t="str">
        <f t="shared" ref="AS7:BL7" ca="1" si="5">LEFT(TEXT(AS5,"ddd"),1)</f>
        <v>w</v>
      </c>
      <c r="AT7" s="25" t="str">
        <f t="shared" ca="1" si="5"/>
        <v>ś</v>
      </c>
      <c r="AU7" s="25" t="str">
        <f t="shared" ca="1" si="5"/>
        <v>c</v>
      </c>
      <c r="AV7" s="25" t="str">
        <f t="shared" ca="1" si="5"/>
        <v>p</v>
      </c>
      <c r="AW7" s="25" t="str">
        <f t="shared" ca="1" si="5"/>
        <v>s</v>
      </c>
      <c r="AX7" s="25" t="str">
        <f t="shared" ca="1" si="5"/>
        <v>n</v>
      </c>
      <c r="AY7" s="25" t="str">
        <f t="shared" ca="1" si="5"/>
        <v>p</v>
      </c>
      <c r="AZ7" s="25" t="str">
        <f t="shared" ca="1" si="5"/>
        <v>w</v>
      </c>
      <c r="BA7" s="25" t="str">
        <f t="shared" ca="1" si="5"/>
        <v>ś</v>
      </c>
      <c r="BB7" s="25" t="str">
        <f t="shared" ca="1" si="5"/>
        <v>c</v>
      </c>
      <c r="BC7" s="25" t="str">
        <f t="shared" ca="1" si="5"/>
        <v>p</v>
      </c>
      <c r="BD7" s="25" t="str">
        <f t="shared" ca="1" si="5"/>
        <v>s</v>
      </c>
      <c r="BE7" s="25" t="str">
        <f t="shared" ca="1" si="5"/>
        <v>n</v>
      </c>
      <c r="BF7" s="25" t="str">
        <f t="shared" ca="1" si="5"/>
        <v>p</v>
      </c>
      <c r="BG7" s="25" t="str">
        <f t="shared" ca="1" si="5"/>
        <v>w</v>
      </c>
      <c r="BH7" s="25" t="str">
        <f t="shared" ca="1" si="5"/>
        <v>ś</v>
      </c>
      <c r="BI7" s="25" t="str">
        <f t="shared" ca="1" si="5"/>
        <v>c</v>
      </c>
      <c r="BJ7" s="25" t="str">
        <f t="shared" ca="1" si="5"/>
        <v>p</v>
      </c>
      <c r="BK7" s="25" t="str">
        <f t="shared" ca="1" si="5"/>
        <v>s</v>
      </c>
      <c r="BL7" s="25" t="str">
        <f t="shared" ca="1" si="5"/>
        <v>n</v>
      </c>
    </row>
    <row r="8" spans="1:64" ht="30" hidden="1" customHeight="1" x14ac:dyDescent="0.25">
      <c r="A8" s="14" t="s">
        <v>7</v>
      </c>
      <c r="B8" s="51"/>
      <c r="C8" s="50"/>
      <c r="D8" s="29"/>
      <c r="E8" s="20"/>
      <c r="F8" s="20"/>
      <c r="G8" s="20"/>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row>
    <row r="9" spans="1:64" s="2" customFormat="1" ht="30" customHeight="1" x14ac:dyDescent="0.25">
      <c r="A9" s="15" t="s">
        <v>8</v>
      </c>
      <c r="B9" s="64" t="s">
        <v>35</v>
      </c>
      <c r="C9" s="33" t="s">
        <v>16</v>
      </c>
      <c r="D9" s="33" t="s">
        <v>34</v>
      </c>
      <c r="E9" s="62">
        <v>1</v>
      </c>
      <c r="F9" s="63">
        <v>46168</v>
      </c>
      <c r="G9" s="20">
        <v>3</v>
      </c>
      <c r="H9" s="26"/>
      <c r="I9" s="37" t="str">
        <f t="shared" ref="I9:X22" ca="1" si="6">IF(AND($C9="Cel",I$5&gt;=$F9,I$5&lt;=$F9+$G9-1),2,IF(AND($C9="Punkt kontrolny",I$5&gt;=$F9,I$5&lt;=$F9+$G9-1),1,""))</f>
        <v/>
      </c>
      <c r="J9" s="37">
        <f t="shared" ca="1" si="6"/>
        <v>2</v>
      </c>
      <c r="K9" s="37">
        <f t="shared" ca="1" si="6"/>
        <v>2</v>
      </c>
      <c r="L9" s="37">
        <f t="shared" ca="1" si="6"/>
        <v>2</v>
      </c>
      <c r="M9" s="37" t="str">
        <f t="shared" ca="1" si="6"/>
        <v/>
      </c>
      <c r="N9" s="37" t="str">
        <f t="shared" ca="1" si="6"/>
        <v/>
      </c>
      <c r="O9" s="37" t="str">
        <f t="shared" ca="1" si="6"/>
        <v/>
      </c>
      <c r="P9" s="37" t="str">
        <f t="shared" ca="1" si="6"/>
        <v/>
      </c>
      <c r="Q9" s="37" t="str">
        <f t="shared" ca="1" si="6"/>
        <v/>
      </c>
      <c r="R9" s="37" t="str">
        <f t="shared" ca="1" si="6"/>
        <v/>
      </c>
      <c r="S9" s="37" t="str">
        <f t="shared" ca="1" si="6"/>
        <v/>
      </c>
      <c r="T9" s="37" t="str">
        <f t="shared" ca="1" si="6"/>
        <v/>
      </c>
      <c r="U9" s="37" t="str">
        <f t="shared" ca="1" si="6"/>
        <v/>
      </c>
      <c r="V9" s="37" t="str">
        <f t="shared" ca="1" si="6"/>
        <v/>
      </c>
      <c r="W9" s="37" t="str">
        <f t="shared" ca="1" si="6"/>
        <v/>
      </c>
      <c r="X9" s="37" t="str">
        <f t="shared" ca="1" si="6"/>
        <v/>
      </c>
      <c r="Y9" s="37" t="str">
        <f t="shared" ref="Y9:AN22" ca="1" si="7">IF(AND($C9="Cel",Y$5&gt;=$F9,Y$5&lt;=$F9+$G9-1),2,IF(AND($C9="Punkt kontrolny",Y$5&gt;=$F9,Y$5&lt;=$F9+$G9-1),1,""))</f>
        <v/>
      </c>
      <c r="Z9" s="37" t="str">
        <f t="shared" ca="1" si="7"/>
        <v/>
      </c>
      <c r="AA9" s="37" t="str">
        <f t="shared" ca="1" si="7"/>
        <v/>
      </c>
      <c r="AB9" s="37" t="str">
        <f t="shared" ca="1" si="7"/>
        <v/>
      </c>
      <c r="AC9" s="37" t="str">
        <f t="shared" ca="1" si="7"/>
        <v/>
      </c>
      <c r="AD9" s="37" t="str">
        <f t="shared" ca="1" si="7"/>
        <v/>
      </c>
      <c r="AE9" s="37" t="str">
        <f t="shared" ca="1" si="7"/>
        <v/>
      </c>
      <c r="AF9" s="37" t="str">
        <f t="shared" ca="1" si="7"/>
        <v/>
      </c>
      <c r="AG9" s="37" t="str">
        <f t="shared" ca="1" si="7"/>
        <v/>
      </c>
      <c r="AH9" s="37" t="str">
        <f t="shared" ca="1" si="7"/>
        <v/>
      </c>
      <c r="AI9" s="37" t="str">
        <f t="shared" ca="1" si="7"/>
        <v/>
      </c>
      <c r="AJ9" s="37" t="str">
        <f t="shared" ca="1" si="7"/>
        <v/>
      </c>
      <c r="AK9" s="37" t="str">
        <f t="shared" ca="1" si="7"/>
        <v/>
      </c>
      <c r="AL9" s="37" t="str">
        <f t="shared" ca="1" si="7"/>
        <v/>
      </c>
      <c r="AM9" s="37" t="str">
        <f t="shared" ca="1" si="7"/>
        <v/>
      </c>
      <c r="AN9" s="37" t="str">
        <f t="shared" ca="1" si="7"/>
        <v/>
      </c>
      <c r="AO9" s="37" t="str">
        <f t="shared" ref="AO9:BD22" ca="1" si="8">IF(AND($C9="Cel",AO$5&gt;=$F9,AO$5&lt;=$F9+$G9-1),2,IF(AND($C9="Punkt kontrolny",AO$5&gt;=$F9,AO$5&lt;=$F9+$G9-1),1,""))</f>
        <v/>
      </c>
      <c r="AP9" s="37" t="str">
        <f t="shared" ca="1" si="8"/>
        <v/>
      </c>
      <c r="AQ9" s="37" t="str">
        <f t="shared" ca="1" si="8"/>
        <v/>
      </c>
      <c r="AR9" s="37" t="str">
        <f t="shared" ca="1" si="8"/>
        <v/>
      </c>
      <c r="AS9" s="37" t="str">
        <f t="shared" ca="1" si="8"/>
        <v/>
      </c>
      <c r="AT9" s="37" t="str">
        <f t="shared" ca="1" si="8"/>
        <v/>
      </c>
      <c r="AU9" s="37" t="str">
        <f t="shared" ca="1" si="8"/>
        <v/>
      </c>
      <c r="AV9" s="37" t="str">
        <f t="shared" ca="1" si="8"/>
        <v/>
      </c>
      <c r="AW9" s="37" t="str">
        <f t="shared" ca="1" si="8"/>
        <v/>
      </c>
      <c r="AX9" s="37" t="str">
        <f t="shared" ca="1" si="8"/>
        <v/>
      </c>
      <c r="AY9" s="37" t="str">
        <f t="shared" ca="1" si="8"/>
        <v/>
      </c>
      <c r="AZ9" s="37" t="str">
        <f t="shared" ca="1" si="8"/>
        <v/>
      </c>
      <c r="BA9" s="37" t="str">
        <f t="shared" ca="1" si="8"/>
        <v/>
      </c>
      <c r="BB9" s="37" t="str">
        <f t="shared" ca="1" si="8"/>
        <v/>
      </c>
      <c r="BC9" s="37" t="str">
        <f t="shared" ca="1" si="8"/>
        <v/>
      </c>
      <c r="BD9" s="37" t="str">
        <f t="shared" ca="1" si="8"/>
        <v/>
      </c>
      <c r="BE9" s="37" t="str">
        <f t="shared" ref="BE9:BL22" ca="1" si="9">IF(AND($C9="Cel",BE$5&gt;=$F9,BE$5&lt;=$F9+$G9-1),2,IF(AND($C9="Punkt kontrolny",BE$5&gt;=$F9,BE$5&lt;=$F9+$G9-1),1,""))</f>
        <v/>
      </c>
      <c r="BF9" s="37" t="str">
        <f t="shared" ca="1" si="9"/>
        <v/>
      </c>
      <c r="BG9" s="37" t="str">
        <f t="shared" ca="1" si="9"/>
        <v/>
      </c>
      <c r="BH9" s="37" t="str">
        <f t="shared" ca="1" si="9"/>
        <v/>
      </c>
      <c r="BI9" s="37" t="str">
        <f t="shared" ca="1" si="9"/>
        <v/>
      </c>
      <c r="BJ9" s="37" t="str">
        <f t="shared" ca="1" si="9"/>
        <v/>
      </c>
      <c r="BK9" s="37" t="str">
        <f t="shared" ca="1" si="9"/>
        <v/>
      </c>
      <c r="BL9" s="37" t="str">
        <f t="shared" ca="1" si="9"/>
        <v/>
      </c>
    </row>
    <row r="10" spans="1:64" s="2" customFormat="1" ht="30" customHeight="1" x14ac:dyDescent="0.25">
      <c r="A10" s="15"/>
      <c r="B10" s="51" t="s">
        <v>42</v>
      </c>
      <c r="C10" s="33" t="s">
        <v>16</v>
      </c>
      <c r="D10" s="33" t="s">
        <v>34</v>
      </c>
      <c r="E10" s="30">
        <v>0.25</v>
      </c>
      <c r="F10" s="31">
        <f ca="1">TODAY()</f>
        <v>46186</v>
      </c>
      <c r="G10" s="32">
        <v>3</v>
      </c>
      <c r="H10" s="26"/>
      <c r="I10" s="37" t="str">
        <f ca="1">IF(AND($C10="Cel",I$5&gt;=$F10,I$5&lt;=$F10+$G10-1),2,IF(AND($C10="Punkt kontrolny",I$5&gt;=$F10,I$5&lt;=$F10+$G10-1),1,""))</f>
        <v/>
      </c>
      <c r="J10" s="37" t="str">
        <f t="shared" ca="1" si="6"/>
        <v/>
      </c>
      <c r="K10" s="37" t="str">
        <f t="shared" ca="1" si="6"/>
        <v/>
      </c>
      <c r="L10" s="37" t="str">
        <f t="shared" ca="1" si="6"/>
        <v/>
      </c>
      <c r="M10" s="37" t="str">
        <f t="shared" ca="1" si="6"/>
        <v/>
      </c>
      <c r="N10" s="37" t="str">
        <f t="shared" ca="1" si="6"/>
        <v/>
      </c>
      <c r="O10" s="37" t="str">
        <f t="shared" ca="1" si="6"/>
        <v/>
      </c>
      <c r="P10" s="37" t="str">
        <f t="shared" ca="1" si="6"/>
        <v/>
      </c>
      <c r="Q10" s="37" t="str">
        <f t="shared" ca="1" si="6"/>
        <v/>
      </c>
      <c r="R10" s="37" t="str">
        <f t="shared" ca="1" si="6"/>
        <v/>
      </c>
      <c r="S10" s="37" t="str">
        <f t="shared" ca="1" si="6"/>
        <v/>
      </c>
      <c r="T10" s="37" t="str">
        <f t="shared" ca="1" si="6"/>
        <v/>
      </c>
      <c r="U10" s="37" t="str">
        <f t="shared" ca="1" si="6"/>
        <v/>
      </c>
      <c r="V10" s="37" t="str">
        <f t="shared" ca="1" si="6"/>
        <v/>
      </c>
      <c r="W10" s="37" t="str">
        <f t="shared" ca="1" si="6"/>
        <v/>
      </c>
      <c r="X10" s="37" t="str">
        <f t="shared" ca="1" si="6"/>
        <v/>
      </c>
      <c r="Y10" s="37" t="str">
        <f t="shared" ca="1" si="7"/>
        <v/>
      </c>
      <c r="Z10" s="37" t="str">
        <f t="shared" ca="1" si="7"/>
        <v/>
      </c>
      <c r="AA10" s="37" t="str">
        <f t="shared" ca="1" si="7"/>
        <v/>
      </c>
      <c r="AB10" s="37">
        <f t="shared" ca="1" si="7"/>
        <v>2</v>
      </c>
      <c r="AC10" s="37">
        <f t="shared" ca="1" si="7"/>
        <v>2</v>
      </c>
      <c r="AD10" s="37">
        <f t="shared" ca="1" si="7"/>
        <v>2</v>
      </c>
      <c r="AE10" s="37" t="str">
        <f t="shared" ca="1" si="7"/>
        <v/>
      </c>
      <c r="AF10" s="37" t="str">
        <f t="shared" ca="1" si="7"/>
        <v/>
      </c>
      <c r="AG10" s="37" t="str">
        <f t="shared" ca="1" si="7"/>
        <v/>
      </c>
      <c r="AH10" s="37" t="str">
        <f t="shared" ca="1" si="7"/>
        <v/>
      </c>
      <c r="AI10" s="37" t="str">
        <f t="shared" ca="1" si="7"/>
        <v/>
      </c>
      <c r="AJ10" s="37" t="str">
        <f t="shared" ca="1" si="7"/>
        <v/>
      </c>
      <c r="AK10" s="37" t="str">
        <f t="shared" ca="1" si="7"/>
        <v/>
      </c>
      <c r="AL10" s="37" t="str">
        <f t="shared" ca="1" si="7"/>
        <v/>
      </c>
      <c r="AM10" s="37" t="str">
        <f t="shared" ca="1" si="7"/>
        <v/>
      </c>
      <c r="AN10" s="37" t="str">
        <f t="shared" ca="1" si="7"/>
        <v/>
      </c>
      <c r="AO10" s="37" t="str">
        <f t="shared" ca="1" si="8"/>
        <v/>
      </c>
      <c r="AP10" s="37" t="str">
        <f t="shared" ca="1" si="8"/>
        <v/>
      </c>
      <c r="AQ10" s="37" t="str">
        <f t="shared" ca="1" si="8"/>
        <v/>
      </c>
      <c r="AR10" s="37" t="str">
        <f t="shared" ca="1" si="8"/>
        <v/>
      </c>
      <c r="AS10" s="37" t="str">
        <f t="shared" ca="1" si="8"/>
        <v/>
      </c>
      <c r="AT10" s="37" t="str">
        <f t="shared" ca="1" si="8"/>
        <v/>
      </c>
      <c r="AU10" s="37" t="str">
        <f t="shared" ca="1" si="8"/>
        <v/>
      </c>
      <c r="AV10" s="37" t="str">
        <f t="shared" ca="1" si="8"/>
        <v/>
      </c>
      <c r="AW10" s="37" t="str">
        <f t="shared" ca="1" si="8"/>
        <v/>
      </c>
      <c r="AX10" s="37" t="str">
        <f t="shared" ca="1" si="8"/>
        <v/>
      </c>
      <c r="AY10" s="37" t="str">
        <f t="shared" ca="1" si="8"/>
        <v/>
      </c>
      <c r="AZ10" s="37" t="str">
        <f t="shared" ca="1" si="8"/>
        <v/>
      </c>
      <c r="BA10" s="37" t="str">
        <f t="shared" ca="1" si="8"/>
        <v/>
      </c>
      <c r="BB10" s="37" t="str">
        <f t="shared" ca="1" si="8"/>
        <v/>
      </c>
      <c r="BC10" s="37" t="str">
        <f t="shared" ca="1" si="8"/>
        <v/>
      </c>
      <c r="BD10" s="37" t="str">
        <f t="shared" ca="1" si="8"/>
        <v/>
      </c>
      <c r="BE10" s="37" t="str">
        <f t="shared" ca="1" si="9"/>
        <v/>
      </c>
      <c r="BF10" s="37" t="str">
        <f t="shared" ca="1" si="9"/>
        <v/>
      </c>
      <c r="BG10" s="37" t="str">
        <f t="shared" ca="1" si="9"/>
        <v/>
      </c>
      <c r="BH10" s="37" t="str">
        <f t="shared" ca="1" si="9"/>
        <v/>
      </c>
      <c r="BI10" s="37" t="str">
        <f t="shared" ca="1" si="9"/>
        <v/>
      </c>
      <c r="BJ10" s="37" t="str">
        <f t="shared" ca="1" si="9"/>
        <v/>
      </c>
      <c r="BK10" s="37" t="str">
        <f t="shared" ca="1" si="9"/>
        <v/>
      </c>
      <c r="BL10" s="37" t="str">
        <f t="shared" ca="1" si="9"/>
        <v/>
      </c>
    </row>
    <row r="11" spans="1:64" s="2" customFormat="1" ht="30" customHeight="1" x14ac:dyDescent="0.25">
      <c r="A11" s="15"/>
      <c r="B11" s="51" t="s">
        <v>36</v>
      </c>
      <c r="C11" s="33" t="s">
        <v>16</v>
      </c>
      <c r="D11" s="33" t="s">
        <v>37</v>
      </c>
      <c r="E11" s="30"/>
      <c r="F11" s="31">
        <f ca="1">TODAY()+5</f>
        <v>46191</v>
      </c>
      <c r="G11" s="32">
        <v>1</v>
      </c>
      <c r="H11" s="26"/>
      <c r="I11" s="37" t="str">
        <f t="shared" ref="I11:X23" ca="1" si="10">IF(AND($C11="Cel",I$5&gt;=$F11,I$5&lt;=$F11+$G11-1),2,IF(AND($C11="Punkt kontrolny",I$5&gt;=$F11,I$5&lt;=$F11+$G11-1),1,""))</f>
        <v/>
      </c>
      <c r="J11" s="37" t="str">
        <f t="shared" ca="1" si="6"/>
        <v/>
      </c>
      <c r="K11" s="37" t="str">
        <f t="shared" ca="1" si="6"/>
        <v/>
      </c>
      <c r="L11" s="37" t="str">
        <f t="shared" ca="1" si="6"/>
        <v/>
      </c>
      <c r="M11" s="37" t="str">
        <f t="shared" ca="1" si="6"/>
        <v/>
      </c>
      <c r="N11" s="37" t="str">
        <f t="shared" ca="1" si="6"/>
        <v/>
      </c>
      <c r="O11" s="37" t="str">
        <f t="shared" ca="1" si="6"/>
        <v/>
      </c>
      <c r="P11" s="37" t="str">
        <f t="shared" ca="1" si="6"/>
        <v/>
      </c>
      <c r="Q11" s="37" t="str">
        <f t="shared" ca="1" si="6"/>
        <v/>
      </c>
      <c r="R11" s="37" t="str">
        <f t="shared" ca="1" si="6"/>
        <v/>
      </c>
      <c r="S11" s="37" t="str">
        <f t="shared" ca="1" si="6"/>
        <v/>
      </c>
      <c r="T11" s="37" t="str">
        <f t="shared" ca="1" si="6"/>
        <v/>
      </c>
      <c r="U11" s="37" t="str">
        <f t="shared" ca="1" si="6"/>
        <v/>
      </c>
      <c r="V11" s="37" t="str">
        <f t="shared" ca="1" si="6"/>
        <v/>
      </c>
      <c r="W11" s="37" t="str">
        <f t="shared" ca="1" si="6"/>
        <v/>
      </c>
      <c r="X11" s="37" t="str">
        <f t="shared" ca="1" si="6"/>
        <v/>
      </c>
      <c r="Y11" s="37" t="str">
        <f t="shared" ca="1" si="7"/>
        <v/>
      </c>
      <c r="Z11" s="37" t="str">
        <f t="shared" ca="1" si="7"/>
        <v/>
      </c>
      <c r="AA11" s="37" t="str">
        <f t="shared" ca="1" si="7"/>
        <v/>
      </c>
      <c r="AB11" s="37" t="str">
        <f t="shared" ca="1" si="7"/>
        <v/>
      </c>
      <c r="AC11" s="37" t="str">
        <f t="shared" ca="1" si="7"/>
        <v/>
      </c>
      <c r="AD11" s="37" t="str">
        <f t="shared" ca="1" si="7"/>
        <v/>
      </c>
      <c r="AE11" s="37" t="str">
        <f t="shared" ca="1" si="7"/>
        <v/>
      </c>
      <c r="AF11" s="37" t="str">
        <f t="shared" ca="1" si="7"/>
        <v/>
      </c>
      <c r="AG11" s="37">
        <f t="shared" ca="1" si="7"/>
        <v>2</v>
      </c>
      <c r="AH11" s="37" t="str">
        <f t="shared" ca="1" si="7"/>
        <v/>
      </c>
      <c r="AI11" s="37" t="str">
        <f t="shared" ca="1" si="7"/>
        <v/>
      </c>
      <c r="AJ11" s="37" t="str">
        <f t="shared" ca="1" si="7"/>
        <v/>
      </c>
      <c r="AK11" s="37" t="str">
        <f t="shared" ca="1" si="7"/>
        <v/>
      </c>
      <c r="AL11" s="37" t="str">
        <f t="shared" ca="1" si="7"/>
        <v/>
      </c>
      <c r="AM11" s="37" t="str">
        <f t="shared" ca="1" si="7"/>
        <v/>
      </c>
      <c r="AN11" s="37" t="str">
        <f t="shared" ca="1" si="7"/>
        <v/>
      </c>
      <c r="AO11" s="37" t="str">
        <f t="shared" ca="1" si="8"/>
        <v/>
      </c>
      <c r="AP11" s="37" t="str">
        <f t="shared" ca="1" si="8"/>
        <v/>
      </c>
      <c r="AQ11" s="37" t="str">
        <f t="shared" ca="1" si="8"/>
        <v/>
      </c>
      <c r="AR11" s="37" t="str">
        <f t="shared" ca="1" si="8"/>
        <v/>
      </c>
      <c r="AS11" s="37" t="str">
        <f t="shared" ca="1" si="8"/>
        <v/>
      </c>
      <c r="AT11" s="37" t="str">
        <f t="shared" ca="1" si="8"/>
        <v/>
      </c>
      <c r="AU11" s="37" t="str">
        <f t="shared" ca="1" si="8"/>
        <v/>
      </c>
      <c r="AV11" s="37" t="str">
        <f t="shared" ca="1" si="8"/>
        <v/>
      </c>
      <c r="AW11" s="37" t="str">
        <f t="shared" ca="1" si="8"/>
        <v/>
      </c>
      <c r="AX11" s="37" t="str">
        <f t="shared" ca="1" si="8"/>
        <v/>
      </c>
      <c r="AY11" s="37" t="str">
        <f t="shared" ca="1" si="8"/>
        <v/>
      </c>
      <c r="AZ11" s="37" t="str">
        <f t="shared" ca="1" si="8"/>
        <v/>
      </c>
      <c r="BA11" s="37" t="str">
        <f t="shared" ca="1" si="8"/>
        <v/>
      </c>
      <c r="BB11" s="37" t="str">
        <f t="shared" ca="1" si="8"/>
        <v/>
      </c>
      <c r="BC11" s="37" t="str">
        <f t="shared" ca="1" si="8"/>
        <v/>
      </c>
      <c r="BD11" s="37" t="str">
        <f t="shared" ca="1" si="8"/>
        <v/>
      </c>
      <c r="BE11" s="37" t="str">
        <f t="shared" ca="1" si="9"/>
        <v/>
      </c>
      <c r="BF11" s="37" t="str">
        <f t="shared" ca="1" si="9"/>
        <v/>
      </c>
      <c r="BG11" s="37" t="str">
        <f t="shared" ca="1" si="9"/>
        <v/>
      </c>
      <c r="BH11" s="37" t="str">
        <f t="shared" ca="1" si="9"/>
        <v/>
      </c>
      <c r="BI11" s="37" t="str">
        <f t="shared" ca="1" si="9"/>
        <v/>
      </c>
      <c r="BJ11" s="37" t="str">
        <f t="shared" ca="1" si="9"/>
        <v/>
      </c>
      <c r="BK11" s="37" t="str">
        <f t="shared" ca="1" si="9"/>
        <v/>
      </c>
      <c r="BL11" s="37" t="str">
        <f t="shared" ca="1" si="9"/>
        <v/>
      </c>
    </row>
    <row r="12" spans="1:64" s="2" customFormat="1" ht="30" customHeight="1" x14ac:dyDescent="0.25">
      <c r="A12" s="14"/>
      <c r="B12" s="51" t="s">
        <v>38</v>
      </c>
      <c r="C12" s="33" t="s">
        <v>16</v>
      </c>
      <c r="D12" s="33" t="s">
        <v>39</v>
      </c>
      <c r="E12" s="30">
        <v>0.5</v>
      </c>
      <c r="F12" s="31">
        <f ca="1">F10-3</f>
        <v>46183</v>
      </c>
      <c r="G12" s="32">
        <v>10</v>
      </c>
      <c r="H12" s="26"/>
      <c r="I12" s="37" t="str">
        <f t="shared" ca="1" si="10"/>
        <v/>
      </c>
      <c r="J12" s="37" t="str">
        <f t="shared" ca="1" si="6"/>
        <v/>
      </c>
      <c r="K12" s="37" t="str">
        <f t="shared" ca="1" si="6"/>
        <v/>
      </c>
      <c r="L12" s="37" t="str">
        <f t="shared" ca="1" si="6"/>
        <v/>
      </c>
      <c r="M12" s="37" t="str">
        <f t="shared" ca="1" si="6"/>
        <v/>
      </c>
      <c r="N12" s="37" t="str">
        <f t="shared" ca="1" si="6"/>
        <v/>
      </c>
      <c r="O12" s="37" t="str">
        <f t="shared" ca="1" si="6"/>
        <v/>
      </c>
      <c r="P12" s="37" t="str">
        <f t="shared" ca="1" si="6"/>
        <v/>
      </c>
      <c r="Q12" s="37" t="str">
        <f t="shared" ca="1" si="6"/>
        <v/>
      </c>
      <c r="R12" s="37" t="str">
        <f t="shared" ca="1" si="6"/>
        <v/>
      </c>
      <c r="S12" s="37" t="str">
        <f t="shared" ca="1" si="6"/>
        <v/>
      </c>
      <c r="T12" s="37" t="str">
        <f t="shared" ca="1" si="6"/>
        <v/>
      </c>
      <c r="U12" s="37" t="str">
        <f t="shared" ca="1" si="6"/>
        <v/>
      </c>
      <c r="V12" s="37" t="str">
        <f t="shared" ca="1" si="6"/>
        <v/>
      </c>
      <c r="W12" s="37" t="str">
        <f t="shared" ca="1" si="6"/>
        <v/>
      </c>
      <c r="X12" s="37" t="str">
        <f t="shared" ca="1" si="6"/>
        <v/>
      </c>
      <c r="Y12" s="37">
        <f t="shared" ca="1" si="7"/>
        <v>2</v>
      </c>
      <c r="Z12" s="37">
        <f t="shared" ca="1" si="7"/>
        <v>2</v>
      </c>
      <c r="AA12" s="37">
        <f t="shared" ca="1" si="7"/>
        <v>2</v>
      </c>
      <c r="AB12" s="37">
        <f t="shared" ca="1" si="7"/>
        <v>2</v>
      </c>
      <c r="AC12" s="37">
        <f t="shared" ca="1" si="7"/>
        <v>2</v>
      </c>
      <c r="AD12" s="37">
        <f t="shared" ca="1" si="7"/>
        <v>2</v>
      </c>
      <c r="AE12" s="37">
        <f t="shared" ca="1" si="7"/>
        <v>2</v>
      </c>
      <c r="AF12" s="37">
        <f t="shared" ca="1" si="7"/>
        <v>2</v>
      </c>
      <c r="AG12" s="37">
        <f t="shared" ca="1" si="7"/>
        <v>2</v>
      </c>
      <c r="AH12" s="37">
        <f t="shared" ca="1" si="7"/>
        <v>2</v>
      </c>
      <c r="AI12" s="37" t="str">
        <f t="shared" ca="1" si="7"/>
        <v/>
      </c>
      <c r="AJ12" s="37" t="str">
        <f t="shared" ca="1" si="7"/>
        <v/>
      </c>
      <c r="AK12" s="37" t="str">
        <f t="shared" ca="1" si="7"/>
        <v/>
      </c>
      <c r="AL12" s="37" t="str">
        <f t="shared" ca="1" si="7"/>
        <v/>
      </c>
      <c r="AM12" s="37" t="str">
        <f t="shared" ca="1" si="7"/>
        <v/>
      </c>
      <c r="AN12" s="37" t="str">
        <f t="shared" ca="1" si="7"/>
        <v/>
      </c>
      <c r="AO12" s="37" t="str">
        <f t="shared" ca="1" si="8"/>
        <v/>
      </c>
      <c r="AP12" s="37" t="str">
        <f t="shared" ca="1" si="8"/>
        <v/>
      </c>
      <c r="AQ12" s="37" t="str">
        <f t="shared" ca="1" si="8"/>
        <v/>
      </c>
      <c r="AR12" s="37" t="str">
        <f t="shared" ca="1" si="8"/>
        <v/>
      </c>
      <c r="AS12" s="37" t="str">
        <f t="shared" ca="1" si="8"/>
        <v/>
      </c>
      <c r="AT12" s="37" t="str">
        <f t="shared" ca="1" si="8"/>
        <v/>
      </c>
      <c r="AU12" s="37" t="str">
        <f t="shared" ca="1" si="8"/>
        <v/>
      </c>
      <c r="AV12" s="37" t="str">
        <f t="shared" ca="1" si="8"/>
        <v/>
      </c>
      <c r="AW12" s="37" t="str">
        <f t="shared" ca="1" si="8"/>
        <v/>
      </c>
      <c r="AX12" s="37" t="str">
        <f t="shared" ca="1" si="8"/>
        <v/>
      </c>
      <c r="AY12" s="37" t="str">
        <f t="shared" ca="1" si="8"/>
        <v/>
      </c>
      <c r="AZ12" s="37" t="str">
        <f t="shared" ca="1" si="8"/>
        <v/>
      </c>
      <c r="BA12" s="37" t="str">
        <f t="shared" ca="1" si="8"/>
        <v/>
      </c>
      <c r="BB12" s="37" t="str">
        <f t="shared" ca="1" si="8"/>
        <v/>
      </c>
      <c r="BC12" s="37" t="str">
        <f t="shared" ca="1" si="8"/>
        <v/>
      </c>
      <c r="BD12" s="37" t="str">
        <f t="shared" ca="1" si="8"/>
        <v/>
      </c>
      <c r="BE12" s="37" t="str">
        <f t="shared" ca="1" si="9"/>
        <v/>
      </c>
      <c r="BF12" s="37" t="str">
        <f t="shared" ca="1" si="9"/>
        <v/>
      </c>
      <c r="BG12" s="37" t="str">
        <f t="shared" ca="1" si="9"/>
        <v/>
      </c>
      <c r="BH12" s="37" t="str">
        <f t="shared" ca="1" si="9"/>
        <v/>
      </c>
      <c r="BI12" s="37" t="str">
        <f t="shared" ca="1" si="9"/>
        <v/>
      </c>
      <c r="BJ12" s="37" t="str">
        <f t="shared" ca="1" si="9"/>
        <v/>
      </c>
      <c r="BK12" s="37" t="str">
        <f t="shared" ca="1" si="9"/>
        <v/>
      </c>
      <c r="BL12" s="37" t="str">
        <f t="shared" ca="1" si="9"/>
        <v/>
      </c>
    </row>
    <row r="13" spans="1:64" s="2" customFormat="1" ht="30" customHeight="1" x14ac:dyDescent="0.25">
      <c r="A13" s="14"/>
      <c r="B13" s="51" t="s">
        <v>40</v>
      </c>
      <c r="C13" s="33" t="s">
        <v>16</v>
      </c>
      <c r="D13" s="33" t="s">
        <v>41</v>
      </c>
      <c r="E13" s="30"/>
      <c r="F13" s="31">
        <f ca="1">F10+20</f>
        <v>46206</v>
      </c>
      <c r="G13" s="32">
        <v>1</v>
      </c>
      <c r="H13" s="26"/>
      <c r="I13" s="37" t="str">
        <f t="shared" ca="1" si="10"/>
        <v/>
      </c>
      <c r="J13" s="37" t="str">
        <f t="shared" ca="1" si="6"/>
        <v/>
      </c>
      <c r="K13" s="37" t="str">
        <f t="shared" ca="1" si="6"/>
        <v/>
      </c>
      <c r="L13" s="37" t="str">
        <f t="shared" ca="1" si="6"/>
        <v/>
      </c>
      <c r="M13" s="37" t="str">
        <f t="shared" ca="1" si="6"/>
        <v/>
      </c>
      <c r="N13" s="37" t="str">
        <f t="shared" ca="1" si="6"/>
        <v/>
      </c>
      <c r="O13" s="37" t="str">
        <f t="shared" ca="1" si="6"/>
        <v/>
      </c>
      <c r="P13" s="37" t="str">
        <f t="shared" ca="1" si="6"/>
        <v/>
      </c>
      <c r="Q13" s="37" t="str">
        <f t="shared" ca="1" si="6"/>
        <v/>
      </c>
      <c r="R13" s="37" t="str">
        <f t="shared" ca="1" si="6"/>
        <v/>
      </c>
      <c r="S13" s="37" t="str">
        <f t="shared" ca="1" si="6"/>
        <v/>
      </c>
      <c r="T13" s="37" t="str">
        <f t="shared" ca="1" si="6"/>
        <v/>
      </c>
      <c r="U13" s="37" t="str">
        <f t="shared" ca="1" si="6"/>
        <v/>
      </c>
      <c r="V13" s="37" t="str">
        <f t="shared" ca="1" si="6"/>
        <v/>
      </c>
      <c r="W13" s="37" t="str">
        <f t="shared" ca="1" si="6"/>
        <v/>
      </c>
      <c r="X13" s="37" t="str">
        <f t="shared" ca="1" si="6"/>
        <v/>
      </c>
      <c r="Y13" s="37" t="str">
        <f t="shared" ca="1" si="7"/>
        <v/>
      </c>
      <c r="Z13" s="37" t="str">
        <f t="shared" ca="1" si="7"/>
        <v/>
      </c>
      <c r="AA13" s="37" t="str">
        <f t="shared" ca="1" si="7"/>
        <v/>
      </c>
      <c r="AB13" s="37" t="str">
        <f t="shared" ca="1" si="7"/>
        <v/>
      </c>
      <c r="AC13" s="37" t="str">
        <f t="shared" ca="1" si="7"/>
        <v/>
      </c>
      <c r="AD13" s="37" t="str">
        <f t="shared" ca="1" si="7"/>
        <v/>
      </c>
      <c r="AE13" s="37" t="str">
        <f t="shared" ca="1" si="7"/>
        <v/>
      </c>
      <c r="AF13" s="37" t="str">
        <f t="shared" ca="1" si="7"/>
        <v/>
      </c>
      <c r="AG13" s="37" t="str">
        <f t="shared" ca="1" si="7"/>
        <v/>
      </c>
      <c r="AH13" s="37" t="str">
        <f t="shared" ca="1" si="7"/>
        <v/>
      </c>
      <c r="AI13" s="37" t="str">
        <f t="shared" ca="1" si="7"/>
        <v/>
      </c>
      <c r="AJ13" s="37" t="str">
        <f t="shared" ca="1" si="7"/>
        <v/>
      </c>
      <c r="AK13" s="37" t="str">
        <f t="shared" ca="1" si="7"/>
        <v/>
      </c>
      <c r="AL13" s="37" t="str">
        <f t="shared" ca="1" si="7"/>
        <v/>
      </c>
      <c r="AM13" s="37" t="str">
        <f t="shared" ca="1" si="7"/>
        <v/>
      </c>
      <c r="AN13" s="37" t="str">
        <f t="shared" ca="1" si="7"/>
        <v/>
      </c>
      <c r="AO13" s="37" t="str">
        <f t="shared" ca="1" si="8"/>
        <v/>
      </c>
      <c r="AP13" s="37" t="str">
        <f t="shared" ca="1" si="8"/>
        <v/>
      </c>
      <c r="AQ13" s="37" t="str">
        <f t="shared" ca="1" si="8"/>
        <v/>
      </c>
      <c r="AR13" s="37" t="str">
        <f t="shared" ca="1" si="8"/>
        <v/>
      </c>
      <c r="AS13" s="37" t="str">
        <f t="shared" ca="1" si="8"/>
        <v/>
      </c>
      <c r="AT13" s="37" t="str">
        <f t="shared" ca="1" si="8"/>
        <v/>
      </c>
      <c r="AU13" s="37" t="str">
        <f t="shared" ca="1" si="8"/>
        <v/>
      </c>
      <c r="AV13" s="37">
        <f t="shared" ca="1" si="8"/>
        <v>2</v>
      </c>
      <c r="AW13" s="37" t="str">
        <f t="shared" ca="1" si="8"/>
        <v/>
      </c>
      <c r="AX13" s="37" t="str">
        <f t="shared" ca="1" si="8"/>
        <v/>
      </c>
      <c r="AY13" s="37" t="str">
        <f t="shared" ca="1" si="8"/>
        <v/>
      </c>
      <c r="AZ13" s="37" t="str">
        <f t="shared" ca="1" si="8"/>
        <v/>
      </c>
      <c r="BA13" s="37" t="str">
        <f t="shared" ca="1" si="8"/>
        <v/>
      </c>
      <c r="BB13" s="37" t="str">
        <f t="shared" ca="1" si="8"/>
        <v/>
      </c>
      <c r="BC13" s="37" t="str">
        <f t="shared" ca="1" si="8"/>
        <v/>
      </c>
      <c r="BD13" s="37" t="str">
        <f t="shared" ca="1" si="8"/>
        <v/>
      </c>
      <c r="BE13" s="37" t="str">
        <f t="shared" ca="1" si="9"/>
        <v/>
      </c>
      <c r="BF13" s="37" t="str">
        <f t="shared" ca="1" si="9"/>
        <v/>
      </c>
      <c r="BG13" s="37" t="str">
        <f t="shared" ca="1" si="9"/>
        <v/>
      </c>
      <c r="BH13" s="37" t="str">
        <f t="shared" ca="1" si="9"/>
        <v/>
      </c>
      <c r="BI13" s="37" t="str">
        <f t="shared" ca="1" si="9"/>
        <v/>
      </c>
      <c r="BJ13" s="37" t="str">
        <f t="shared" ca="1" si="9"/>
        <v/>
      </c>
      <c r="BK13" s="37" t="str">
        <f t="shared" ca="1" si="9"/>
        <v/>
      </c>
      <c r="BL13" s="37" t="str">
        <f t="shared" ca="1" si="9"/>
        <v/>
      </c>
    </row>
    <row r="14" spans="1:64" s="2" customFormat="1" ht="30" customHeight="1" x14ac:dyDescent="0.25">
      <c r="A14" s="14"/>
      <c r="B14" s="51" t="s">
        <v>43</v>
      </c>
      <c r="C14" s="33" t="s">
        <v>16</v>
      </c>
      <c r="D14" s="33" t="s">
        <v>41</v>
      </c>
      <c r="E14" s="30">
        <v>0.1</v>
      </c>
      <c r="F14" s="31">
        <f ca="1">F10+6</f>
        <v>46192</v>
      </c>
      <c r="G14" s="32">
        <v>6</v>
      </c>
      <c r="H14" s="26"/>
      <c r="I14" s="37" t="str">
        <f t="shared" ca="1" si="10"/>
        <v/>
      </c>
      <c r="J14" s="37" t="str">
        <f t="shared" ca="1" si="6"/>
        <v/>
      </c>
      <c r="K14" s="37" t="str">
        <f t="shared" ca="1" si="6"/>
        <v/>
      </c>
      <c r="L14" s="37" t="str">
        <f t="shared" ca="1" si="6"/>
        <v/>
      </c>
      <c r="M14" s="37" t="str">
        <f t="shared" ca="1" si="6"/>
        <v/>
      </c>
      <c r="N14" s="37" t="str">
        <f t="shared" ca="1" si="6"/>
        <v/>
      </c>
      <c r="O14" s="37" t="str">
        <f t="shared" ca="1" si="6"/>
        <v/>
      </c>
      <c r="P14" s="37" t="str">
        <f t="shared" ca="1" si="6"/>
        <v/>
      </c>
      <c r="Q14" s="37" t="str">
        <f t="shared" ca="1" si="6"/>
        <v/>
      </c>
      <c r="R14" s="37" t="str">
        <f t="shared" ca="1" si="6"/>
        <v/>
      </c>
      <c r="S14" s="37" t="str">
        <f t="shared" ca="1" si="6"/>
        <v/>
      </c>
      <c r="T14" s="37" t="str">
        <f t="shared" ca="1" si="6"/>
        <v/>
      </c>
      <c r="U14" s="37" t="str">
        <f t="shared" ca="1" si="6"/>
        <v/>
      </c>
      <c r="V14" s="37" t="str">
        <f t="shared" ca="1" si="6"/>
        <v/>
      </c>
      <c r="W14" s="37" t="str">
        <f t="shared" ca="1" si="6"/>
        <v/>
      </c>
      <c r="X14" s="37" t="str">
        <f t="shared" ca="1" si="6"/>
        <v/>
      </c>
      <c r="Y14" s="37" t="str">
        <f t="shared" ca="1" si="7"/>
        <v/>
      </c>
      <c r="Z14" s="37" t="str">
        <f t="shared" ca="1" si="7"/>
        <v/>
      </c>
      <c r="AA14" s="37" t="str">
        <f t="shared" ca="1" si="7"/>
        <v/>
      </c>
      <c r="AB14" s="37" t="str">
        <f t="shared" ca="1" si="7"/>
        <v/>
      </c>
      <c r="AC14" s="37" t="str">
        <f t="shared" ca="1" si="7"/>
        <v/>
      </c>
      <c r="AD14" s="37" t="str">
        <f t="shared" ca="1" si="7"/>
        <v/>
      </c>
      <c r="AE14" s="37" t="str">
        <f t="shared" ca="1" si="7"/>
        <v/>
      </c>
      <c r="AF14" s="37" t="str">
        <f t="shared" ca="1" si="7"/>
        <v/>
      </c>
      <c r="AG14" s="37" t="str">
        <f t="shared" ca="1" si="7"/>
        <v/>
      </c>
      <c r="AH14" s="37">
        <f t="shared" ca="1" si="7"/>
        <v>2</v>
      </c>
      <c r="AI14" s="37">
        <f t="shared" ca="1" si="7"/>
        <v>2</v>
      </c>
      <c r="AJ14" s="37">
        <f t="shared" ca="1" si="7"/>
        <v>2</v>
      </c>
      <c r="AK14" s="37">
        <f t="shared" ca="1" si="7"/>
        <v>2</v>
      </c>
      <c r="AL14" s="37">
        <f t="shared" ca="1" si="7"/>
        <v>2</v>
      </c>
      <c r="AM14" s="37">
        <f t="shared" ca="1" si="7"/>
        <v>2</v>
      </c>
      <c r="AN14" s="37" t="str">
        <f t="shared" ca="1" si="7"/>
        <v/>
      </c>
      <c r="AO14" s="37" t="str">
        <f t="shared" ca="1" si="8"/>
        <v/>
      </c>
      <c r="AP14" s="37" t="str">
        <f t="shared" ca="1" si="8"/>
        <v/>
      </c>
      <c r="AQ14" s="37" t="str">
        <f t="shared" ca="1" si="8"/>
        <v/>
      </c>
      <c r="AR14" s="37" t="str">
        <f t="shared" ca="1" si="8"/>
        <v/>
      </c>
      <c r="AS14" s="37" t="str">
        <f t="shared" ca="1" si="8"/>
        <v/>
      </c>
      <c r="AT14" s="37" t="str">
        <f t="shared" ca="1" si="8"/>
        <v/>
      </c>
      <c r="AU14" s="37" t="str">
        <f t="shared" ca="1" si="8"/>
        <v/>
      </c>
      <c r="AV14" s="37" t="str">
        <f t="shared" ca="1" si="8"/>
        <v/>
      </c>
      <c r="AW14" s="37" t="str">
        <f t="shared" ca="1" si="8"/>
        <v/>
      </c>
      <c r="AX14" s="37" t="str">
        <f t="shared" ca="1" si="8"/>
        <v/>
      </c>
      <c r="AY14" s="37" t="str">
        <f t="shared" ca="1" si="8"/>
        <v/>
      </c>
      <c r="AZ14" s="37" t="str">
        <f t="shared" ca="1" si="8"/>
        <v/>
      </c>
      <c r="BA14" s="37" t="str">
        <f t="shared" ca="1" si="8"/>
        <v/>
      </c>
      <c r="BB14" s="37" t="str">
        <f t="shared" ca="1" si="8"/>
        <v/>
      </c>
      <c r="BC14" s="37" t="str">
        <f t="shared" ca="1" si="8"/>
        <v/>
      </c>
      <c r="BD14" s="37" t="str">
        <f t="shared" ca="1" si="8"/>
        <v/>
      </c>
      <c r="BE14" s="37" t="str">
        <f t="shared" ca="1" si="9"/>
        <v/>
      </c>
      <c r="BF14" s="37" t="str">
        <f t="shared" ca="1" si="9"/>
        <v/>
      </c>
      <c r="BG14" s="37" t="str">
        <f t="shared" ca="1" si="9"/>
        <v/>
      </c>
      <c r="BH14" s="37" t="str">
        <f t="shared" ca="1" si="9"/>
        <v/>
      </c>
      <c r="BI14" s="37" t="str">
        <f t="shared" ca="1" si="9"/>
        <v/>
      </c>
      <c r="BJ14" s="37" t="str">
        <f t="shared" ca="1" si="9"/>
        <v/>
      </c>
      <c r="BK14" s="37" t="str">
        <f t="shared" ca="1" si="9"/>
        <v/>
      </c>
      <c r="BL14" s="37" t="str">
        <f t="shared" ca="1" si="9"/>
        <v/>
      </c>
    </row>
    <row r="15" spans="1:64" s="2" customFormat="1" ht="30" customHeight="1" x14ac:dyDescent="0.25">
      <c r="A15" s="15"/>
      <c r="B15" s="51" t="s">
        <v>44</v>
      </c>
      <c r="C15" s="33" t="s">
        <v>16</v>
      </c>
      <c r="D15" s="33" t="s">
        <v>37</v>
      </c>
      <c r="E15" s="30">
        <v>0.6</v>
      </c>
      <c r="F15" s="31">
        <f ca="1">F10+6</f>
        <v>46192</v>
      </c>
      <c r="G15" s="32">
        <v>13</v>
      </c>
      <c r="H15" s="26"/>
      <c r="I15" s="37" t="str">
        <f t="shared" ca="1" si="10"/>
        <v/>
      </c>
      <c r="J15" s="37" t="str">
        <f t="shared" ca="1" si="6"/>
        <v/>
      </c>
      <c r="K15" s="37" t="str">
        <f t="shared" ca="1" si="6"/>
        <v/>
      </c>
      <c r="L15" s="37" t="str">
        <f t="shared" ca="1" si="6"/>
        <v/>
      </c>
      <c r="M15" s="37" t="str">
        <f t="shared" ca="1" si="6"/>
        <v/>
      </c>
      <c r="N15" s="37" t="str">
        <f t="shared" ca="1" si="6"/>
        <v/>
      </c>
      <c r="O15" s="37" t="str">
        <f t="shared" ca="1" si="6"/>
        <v/>
      </c>
      <c r="P15" s="37" t="str">
        <f t="shared" ca="1" si="6"/>
        <v/>
      </c>
      <c r="Q15" s="37" t="str">
        <f t="shared" ca="1" si="6"/>
        <v/>
      </c>
      <c r="R15" s="37" t="str">
        <f t="shared" ca="1" si="6"/>
        <v/>
      </c>
      <c r="S15" s="37" t="str">
        <f t="shared" ca="1" si="6"/>
        <v/>
      </c>
      <c r="T15" s="37" t="str">
        <f t="shared" ca="1" si="6"/>
        <v/>
      </c>
      <c r="U15" s="37" t="str">
        <f t="shared" ca="1" si="6"/>
        <v/>
      </c>
      <c r="V15" s="37" t="str">
        <f t="shared" ca="1" si="6"/>
        <v/>
      </c>
      <c r="W15" s="37" t="str">
        <f t="shared" ca="1" si="6"/>
        <v/>
      </c>
      <c r="X15" s="37" t="str">
        <f t="shared" ca="1" si="6"/>
        <v/>
      </c>
      <c r="Y15" s="37" t="str">
        <f t="shared" ca="1" si="7"/>
        <v/>
      </c>
      <c r="Z15" s="37" t="str">
        <f t="shared" ca="1" si="7"/>
        <v/>
      </c>
      <c r="AA15" s="37" t="str">
        <f t="shared" ca="1" si="7"/>
        <v/>
      </c>
      <c r="AB15" s="37" t="str">
        <f t="shared" ca="1" si="7"/>
        <v/>
      </c>
      <c r="AC15" s="37" t="str">
        <f t="shared" ca="1" si="7"/>
        <v/>
      </c>
      <c r="AD15" s="37" t="str">
        <f t="shared" ca="1" si="7"/>
        <v/>
      </c>
      <c r="AE15" s="37" t="str">
        <f t="shared" ca="1" si="7"/>
        <v/>
      </c>
      <c r="AF15" s="37" t="str">
        <f t="shared" ca="1" si="7"/>
        <v/>
      </c>
      <c r="AG15" s="37" t="str">
        <f t="shared" ca="1" si="7"/>
        <v/>
      </c>
      <c r="AH15" s="37">
        <f t="shared" ca="1" si="7"/>
        <v>2</v>
      </c>
      <c r="AI15" s="37">
        <f t="shared" ca="1" si="7"/>
        <v>2</v>
      </c>
      <c r="AJ15" s="37">
        <f t="shared" ca="1" si="7"/>
        <v>2</v>
      </c>
      <c r="AK15" s="37">
        <f t="shared" ca="1" si="7"/>
        <v>2</v>
      </c>
      <c r="AL15" s="37">
        <f t="shared" ca="1" si="7"/>
        <v>2</v>
      </c>
      <c r="AM15" s="37">
        <f t="shared" ca="1" si="7"/>
        <v>2</v>
      </c>
      <c r="AN15" s="37">
        <f t="shared" ca="1" si="7"/>
        <v>2</v>
      </c>
      <c r="AO15" s="37">
        <f t="shared" ca="1" si="8"/>
        <v>2</v>
      </c>
      <c r="AP15" s="37">
        <f t="shared" ca="1" si="8"/>
        <v>2</v>
      </c>
      <c r="AQ15" s="37">
        <f t="shared" ca="1" si="8"/>
        <v>2</v>
      </c>
      <c r="AR15" s="37">
        <f t="shared" ca="1" si="8"/>
        <v>2</v>
      </c>
      <c r="AS15" s="37">
        <f t="shared" ca="1" si="8"/>
        <v>2</v>
      </c>
      <c r="AT15" s="37">
        <f t="shared" ca="1" si="8"/>
        <v>2</v>
      </c>
      <c r="AU15" s="37" t="str">
        <f t="shared" ca="1" si="8"/>
        <v/>
      </c>
      <c r="AV15" s="37" t="str">
        <f t="shared" ca="1" si="8"/>
        <v/>
      </c>
      <c r="AW15" s="37" t="str">
        <f t="shared" ca="1" si="8"/>
        <v/>
      </c>
      <c r="AX15" s="37" t="str">
        <f t="shared" ca="1" si="8"/>
        <v/>
      </c>
      <c r="AY15" s="37" t="str">
        <f t="shared" ca="1" si="8"/>
        <v/>
      </c>
      <c r="AZ15" s="37" t="str">
        <f t="shared" ca="1" si="8"/>
        <v/>
      </c>
      <c r="BA15" s="37" t="str">
        <f t="shared" ca="1" si="8"/>
        <v/>
      </c>
      <c r="BB15" s="37" t="str">
        <f t="shared" ca="1" si="8"/>
        <v/>
      </c>
      <c r="BC15" s="37" t="str">
        <f t="shared" ca="1" si="8"/>
        <v/>
      </c>
      <c r="BD15" s="37" t="str">
        <f t="shared" ca="1" si="8"/>
        <v/>
      </c>
      <c r="BE15" s="37" t="str">
        <f t="shared" ca="1" si="9"/>
        <v/>
      </c>
      <c r="BF15" s="37" t="str">
        <f t="shared" ca="1" si="9"/>
        <v/>
      </c>
      <c r="BG15" s="37" t="str">
        <f t="shared" ca="1" si="9"/>
        <v/>
      </c>
      <c r="BH15" s="37" t="str">
        <f t="shared" ca="1" si="9"/>
        <v/>
      </c>
      <c r="BI15" s="37" t="str">
        <f t="shared" ca="1" si="9"/>
        <v/>
      </c>
      <c r="BJ15" s="37" t="str">
        <f t="shared" ca="1" si="9"/>
        <v/>
      </c>
      <c r="BK15" s="37" t="str">
        <f t="shared" ca="1" si="9"/>
        <v/>
      </c>
      <c r="BL15" s="37" t="str">
        <f t="shared" ca="1" si="9"/>
        <v/>
      </c>
    </row>
    <row r="16" spans="1:64" s="2" customFormat="1" ht="30" customHeight="1" x14ac:dyDescent="0.25">
      <c r="A16" s="14"/>
      <c r="B16" s="51" t="s">
        <v>45</v>
      </c>
      <c r="C16" s="33" t="s">
        <v>16</v>
      </c>
      <c r="D16" s="33" t="s">
        <v>39</v>
      </c>
      <c r="E16" s="30">
        <v>0.5</v>
      </c>
      <c r="F16" s="31">
        <f ca="1">F15+2</f>
        <v>46194</v>
      </c>
      <c r="G16" s="32">
        <v>9</v>
      </c>
      <c r="H16" s="26"/>
      <c r="I16" s="37" t="str">
        <f t="shared" ca="1" si="10"/>
        <v/>
      </c>
      <c r="J16" s="37" t="str">
        <f t="shared" ca="1" si="6"/>
        <v/>
      </c>
      <c r="K16" s="37" t="str">
        <f t="shared" ca="1" si="6"/>
        <v/>
      </c>
      <c r="L16" s="37" t="str">
        <f t="shared" ca="1" si="6"/>
        <v/>
      </c>
      <c r="M16" s="37" t="str">
        <f t="shared" ca="1" si="6"/>
        <v/>
      </c>
      <c r="N16" s="37" t="str">
        <f t="shared" ca="1" si="6"/>
        <v/>
      </c>
      <c r="O16" s="37" t="str">
        <f t="shared" ca="1" si="6"/>
        <v/>
      </c>
      <c r="P16" s="37" t="str">
        <f t="shared" ca="1" si="6"/>
        <v/>
      </c>
      <c r="Q16" s="37" t="str">
        <f t="shared" ca="1" si="6"/>
        <v/>
      </c>
      <c r="R16" s="37" t="str">
        <f t="shared" ca="1" si="6"/>
        <v/>
      </c>
      <c r="S16" s="37" t="str">
        <f t="shared" ca="1" si="6"/>
        <v/>
      </c>
      <c r="T16" s="37" t="str">
        <f t="shared" ca="1" si="6"/>
        <v/>
      </c>
      <c r="U16" s="37" t="str">
        <f t="shared" ca="1" si="6"/>
        <v/>
      </c>
      <c r="V16" s="37" t="str">
        <f t="shared" ca="1" si="6"/>
        <v/>
      </c>
      <c r="W16" s="37" t="str">
        <f t="shared" ca="1" si="6"/>
        <v/>
      </c>
      <c r="X16" s="37" t="str">
        <f t="shared" ca="1" si="6"/>
        <v/>
      </c>
      <c r="Y16" s="37" t="str">
        <f t="shared" ca="1" si="7"/>
        <v/>
      </c>
      <c r="Z16" s="37" t="str">
        <f t="shared" ca="1" si="7"/>
        <v/>
      </c>
      <c r="AA16" s="37" t="str">
        <f t="shared" ca="1" si="7"/>
        <v/>
      </c>
      <c r="AB16" s="37" t="str">
        <f t="shared" ca="1" si="7"/>
        <v/>
      </c>
      <c r="AC16" s="37" t="str">
        <f t="shared" ca="1" si="7"/>
        <v/>
      </c>
      <c r="AD16" s="37" t="str">
        <f t="shared" ca="1" si="7"/>
        <v/>
      </c>
      <c r="AE16" s="37" t="str">
        <f t="shared" ca="1" si="7"/>
        <v/>
      </c>
      <c r="AF16" s="37" t="str">
        <f t="shared" ca="1" si="7"/>
        <v/>
      </c>
      <c r="AG16" s="37" t="str">
        <f t="shared" ca="1" si="7"/>
        <v/>
      </c>
      <c r="AH16" s="37" t="str">
        <f t="shared" ca="1" si="7"/>
        <v/>
      </c>
      <c r="AI16" s="37" t="str">
        <f t="shared" ca="1" si="7"/>
        <v/>
      </c>
      <c r="AJ16" s="37">
        <f t="shared" ca="1" si="7"/>
        <v>2</v>
      </c>
      <c r="AK16" s="37">
        <f t="shared" ca="1" si="7"/>
        <v>2</v>
      </c>
      <c r="AL16" s="37">
        <f t="shared" ca="1" si="7"/>
        <v>2</v>
      </c>
      <c r="AM16" s="37">
        <f t="shared" ca="1" si="7"/>
        <v>2</v>
      </c>
      <c r="AN16" s="37">
        <f t="shared" ca="1" si="7"/>
        <v>2</v>
      </c>
      <c r="AO16" s="37">
        <f t="shared" ca="1" si="8"/>
        <v>2</v>
      </c>
      <c r="AP16" s="37">
        <f t="shared" ca="1" si="8"/>
        <v>2</v>
      </c>
      <c r="AQ16" s="37">
        <f t="shared" ca="1" si="8"/>
        <v>2</v>
      </c>
      <c r="AR16" s="37">
        <f t="shared" ca="1" si="8"/>
        <v>2</v>
      </c>
      <c r="AS16" s="37" t="str">
        <f t="shared" ca="1" si="8"/>
        <v/>
      </c>
      <c r="AT16" s="37" t="str">
        <f t="shared" ca="1" si="8"/>
        <v/>
      </c>
      <c r="AU16" s="37" t="str">
        <f t="shared" ca="1" si="8"/>
        <v/>
      </c>
      <c r="AV16" s="37" t="str">
        <f t="shared" ca="1" si="8"/>
        <v/>
      </c>
      <c r="AW16" s="37" t="str">
        <f t="shared" ca="1" si="8"/>
        <v/>
      </c>
      <c r="AX16" s="37" t="str">
        <f t="shared" ca="1" si="8"/>
        <v/>
      </c>
      <c r="AY16" s="37" t="str">
        <f t="shared" ca="1" si="8"/>
        <v/>
      </c>
      <c r="AZ16" s="37" t="str">
        <f t="shared" ca="1" si="8"/>
        <v/>
      </c>
      <c r="BA16" s="37" t="str">
        <f t="shared" ca="1" si="8"/>
        <v/>
      </c>
      <c r="BB16" s="37" t="str">
        <f t="shared" ca="1" si="8"/>
        <v/>
      </c>
      <c r="BC16" s="37" t="str">
        <f t="shared" ca="1" si="8"/>
        <v/>
      </c>
      <c r="BD16" s="37" t="str">
        <f t="shared" ca="1" si="8"/>
        <v/>
      </c>
      <c r="BE16" s="37" t="str">
        <f t="shared" ca="1" si="9"/>
        <v/>
      </c>
      <c r="BF16" s="37" t="str">
        <f t="shared" ca="1" si="9"/>
        <v/>
      </c>
      <c r="BG16" s="37" t="str">
        <f t="shared" ca="1" si="9"/>
        <v/>
      </c>
      <c r="BH16" s="37" t="str">
        <f t="shared" ca="1" si="9"/>
        <v/>
      </c>
      <c r="BI16" s="37" t="str">
        <f t="shared" ca="1" si="9"/>
        <v/>
      </c>
      <c r="BJ16" s="37" t="str">
        <f t="shared" ca="1" si="9"/>
        <v/>
      </c>
      <c r="BK16" s="37" t="str">
        <f t="shared" ca="1" si="9"/>
        <v/>
      </c>
      <c r="BL16" s="37" t="str">
        <f t="shared" ca="1" si="9"/>
        <v/>
      </c>
    </row>
    <row r="17" spans="1:64" s="2" customFormat="1" ht="30" customHeight="1" x14ac:dyDescent="0.25">
      <c r="A17" s="14"/>
      <c r="B17" s="51" t="s">
        <v>46</v>
      </c>
      <c r="C17" s="33" t="s">
        <v>16</v>
      </c>
      <c r="D17" s="33" t="s">
        <v>37</v>
      </c>
      <c r="E17" s="30">
        <v>0.33</v>
      </c>
      <c r="F17" s="31">
        <f ca="1">F16+5</f>
        <v>46199</v>
      </c>
      <c r="G17" s="32">
        <v>11</v>
      </c>
      <c r="H17" s="26"/>
      <c r="I17" s="37" t="str">
        <f t="shared" ca="1" si="10"/>
        <v/>
      </c>
      <c r="J17" s="37" t="str">
        <f t="shared" ca="1" si="6"/>
        <v/>
      </c>
      <c r="K17" s="37" t="str">
        <f t="shared" ca="1" si="6"/>
        <v/>
      </c>
      <c r="L17" s="37" t="str">
        <f t="shared" ca="1" si="6"/>
        <v/>
      </c>
      <c r="M17" s="37" t="str">
        <f t="shared" ca="1" si="6"/>
        <v/>
      </c>
      <c r="N17" s="37" t="str">
        <f t="shared" ca="1" si="6"/>
        <v/>
      </c>
      <c r="O17" s="37" t="str">
        <f t="shared" ca="1" si="6"/>
        <v/>
      </c>
      <c r="P17" s="37" t="str">
        <f t="shared" ca="1" si="6"/>
        <v/>
      </c>
      <c r="Q17" s="37" t="str">
        <f t="shared" ca="1" si="6"/>
        <v/>
      </c>
      <c r="R17" s="37" t="str">
        <f t="shared" ca="1" si="6"/>
        <v/>
      </c>
      <c r="S17" s="37" t="str">
        <f t="shared" ca="1" si="6"/>
        <v/>
      </c>
      <c r="T17" s="37" t="str">
        <f t="shared" ca="1" si="6"/>
        <v/>
      </c>
      <c r="U17" s="37" t="str">
        <f t="shared" ca="1" si="6"/>
        <v/>
      </c>
      <c r="V17" s="37" t="str">
        <f t="shared" ca="1" si="6"/>
        <v/>
      </c>
      <c r="W17" s="37" t="str">
        <f t="shared" ca="1" si="6"/>
        <v/>
      </c>
      <c r="X17" s="37" t="str">
        <f t="shared" ca="1" si="6"/>
        <v/>
      </c>
      <c r="Y17" s="37" t="str">
        <f t="shared" ca="1" si="7"/>
        <v/>
      </c>
      <c r="Z17" s="37" t="str">
        <f t="shared" ca="1" si="7"/>
        <v/>
      </c>
      <c r="AA17" s="37" t="str">
        <f t="shared" ca="1" si="7"/>
        <v/>
      </c>
      <c r="AB17" s="37" t="str">
        <f t="shared" ca="1" si="7"/>
        <v/>
      </c>
      <c r="AC17" s="37" t="str">
        <f t="shared" ca="1" si="7"/>
        <v/>
      </c>
      <c r="AD17" s="37" t="str">
        <f t="shared" ca="1" si="7"/>
        <v/>
      </c>
      <c r="AE17" s="37" t="str">
        <f t="shared" ca="1" si="7"/>
        <v/>
      </c>
      <c r="AF17" s="37" t="str">
        <f t="shared" ca="1" si="7"/>
        <v/>
      </c>
      <c r="AG17" s="37" t="str">
        <f t="shared" ca="1" si="7"/>
        <v/>
      </c>
      <c r="AH17" s="37" t="str">
        <f t="shared" ca="1" si="7"/>
        <v/>
      </c>
      <c r="AI17" s="37" t="str">
        <f t="shared" ca="1" si="7"/>
        <v/>
      </c>
      <c r="AJ17" s="37" t="str">
        <f t="shared" ca="1" si="7"/>
        <v/>
      </c>
      <c r="AK17" s="37" t="str">
        <f t="shared" ca="1" si="7"/>
        <v/>
      </c>
      <c r="AL17" s="37" t="str">
        <f t="shared" ca="1" si="7"/>
        <v/>
      </c>
      <c r="AM17" s="37" t="str">
        <f t="shared" ca="1" si="7"/>
        <v/>
      </c>
      <c r="AN17" s="37" t="str">
        <f t="shared" ca="1" si="7"/>
        <v/>
      </c>
      <c r="AO17" s="37">
        <f t="shared" ca="1" si="8"/>
        <v>2</v>
      </c>
      <c r="AP17" s="37">
        <f t="shared" ca="1" si="8"/>
        <v>2</v>
      </c>
      <c r="AQ17" s="37">
        <f t="shared" ca="1" si="8"/>
        <v>2</v>
      </c>
      <c r="AR17" s="37">
        <f t="shared" ca="1" si="8"/>
        <v>2</v>
      </c>
      <c r="AS17" s="37">
        <f t="shared" ca="1" si="8"/>
        <v>2</v>
      </c>
      <c r="AT17" s="37">
        <f t="shared" ca="1" si="8"/>
        <v>2</v>
      </c>
      <c r="AU17" s="37">
        <f t="shared" ca="1" si="8"/>
        <v>2</v>
      </c>
      <c r="AV17" s="37">
        <f t="shared" ca="1" si="8"/>
        <v>2</v>
      </c>
      <c r="AW17" s="37">
        <f t="shared" ca="1" si="8"/>
        <v>2</v>
      </c>
      <c r="AX17" s="37">
        <f t="shared" ca="1" si="8"/>
        <v>2</v>
      </c>
      <c r="AY17" s="37">
        <f t="shared" ca="1" si="8"/>
        <v>2</v>
      </c>
      <c r="AZ17" s="37" t="str">
        <f t="shared" ca="1" si="8"/>
        <v/>
      </c>
      <c r="BA17" s="37" t="str">
        <f t="shared" ca="1" si="8"/>
        <v/>
      </c>
      <c r="BB17" s="37" t="str">
        <f t="shared" ca="1" si="8"/>
        <v/>
      </c>
      <c r="BC17" s="37" t="str">
        <f t="shared" ca="1" si="8"/>
        <v/>
      </c>
      <c r="BD17" s="37" t="str">
        <f t="shared" ca="1" si="8"/>
        <v/>
      </c>
      <c r="BE17" s="37" t="str">
        <f t="shared" ca="1" si="9"/>
        <v/>
      </c>
      <c r="BF17" s="37" t="str">
        <f t="shared" ca="1" si="9"/>
        <v/>
      </c>
      <c r="BG17" s="37" t="str">
        <f t="shared" ca="1" si="9"/>
        <v/>
      </c>
      <c r="BH17" s="37" t="str">
        <f t="shared" ca="1" si="9"/>
        <v/>
      </c>
      <c r="BI17" s="37" t="str">
        <f t="shared" ca="1" si="9"/>
        <v/>
      </c>
      <c r="BJ17" s="37" t="str">
        <f t="shared" ca="1" si="9"/>
        <v/>
      </c>
      <c r="BK17" s="37" t="str">
        <f t="shared" ca="1" si="9"/>
        <v/>
      </c>
      <c r="BL17" s="37" t="str">
        <f t="shared" ca="1" si="9"/>
        <v/>
      </c>
    </row>
    <row r="18" spans="1:64" s="2" customFormat="1" ht="30" customHeight="1" x14ac:dyDescent="0.25">
      <c r="A18" s="14"/>
      <c r="B18" s="51" t="s">
        <v>47</v>
      </c>
      <c r="C18" s="33" t="s">
        <v>16</v>
      </c>
      <c r="D18" s="33" t="s">
        <v>39</v>
      </c>
      <c r="E18" s="30"/>
      <c r="F18" s="31">
        <f ca="1">F17+2</f>
        <v>46201</v>
      </c>
      <c r="G18" s="32">
        <v>1</v>
      </c>
      <c r="H18" s="26"/>
      <c r="I18" s="37" t="str">
        <f t="shared" ca="1" si="10"/>
        <v/>
      </c>
      <c r="J18" s="37" t="str">
        <f t="shared" ca="1" si="6"/>
        <v/>
      </c>
      <c r="K18" s="37" t="str">
        <f t="shared" ca="1" si="6"/>
        <v/>
      </c>
      <c r="L18" s="37" t="str">
        <f t="shared" ca="1" si="6"/>
        <v/>
      </c>
      <c r="M18" s="37" t="str">
        <f t="shared" ca="1" si="6"/>
        <v/>
      </c>
      <c r="N18" s="37" t="str">
        <f t="shared" ca="1" si="6"/>
        <v/>
      </c>
      <c r="O18" s="37" t="str">
        <f t="shared" ca="1" si="6"/>
        <v/>
      </c>
      <c r="P18" s="37" t="str">
        <f t="shared" ca="1" si="6"/>
        <v/>
      </c>
      <c r="Q18" s="37" t="str">
        <f t="shared" ca="1" si="6"/>
        <v/>
      </c>
      <c r="R18" s="37" t="str">
        <f t="shared" ca="1" si="6"/>
        <v/>
      </c>
      <c r="S18" s="37" t="str">
        <f t="shared" ca="1" si="6"/>
        <v/>
      </c>
      <c r="T18" s="37" t="str">
        <f t="shared" ca="1" si="6"/>
        <v/>
      </c>
      <c r="U18" s="37" t="str">
        <f t="shared" ca="1" si="6"/>
        <v/>
      </c>
      <c r="V18" s="37" t="str">
        <f t="shared" ca="1" si="6"/>
        <v/>
      </c>
      <c r="W18" s="37" t="str">
        <f t="shared" ca="1" si="6"/>
        <v/>
      </c>
      <c r="X18" s="37" t="str">
        <f t="shared" ca="1" si="6"/>
        <v/>
      </c>
      <c r="Y18" s="37" t="str">
        <f t="shared" ca="1" si="7"/>
        <v/>
      </c>
      <c r="Z18" s="37" t="str">
        <f t="shared" ca="1" si="7"/>
        <v/>
      </c>
      <c r="AA18" s="37" t="str">
        <f t="shared" ca="1" si="7"/>
        <v/>
      </c>
      <c r="AB18" s="37" t="str">
        <f t="shared" ca="1" si="7"/>
        <v/>
      </c>
      <c r="AC18" s="37" t="str">
        <f t="shared" ca="1" si="7"/>
        <v/>
      </c>
      <c r="AD18" s="37" t="str">
        <f t="shared" ca="1" si="7"/>
        <v/>
      </c>
      <c r="AE18" s="37" t="str">
        <f t="shared" ca="1" si="7"/>
        <v/>
      </c>
      <c r="AF18" s="37" t="str">
        <f t="shared" ca="1" si="7"/>
        <v/>
      </c>
      <c r="AG18" s="37" t="str">
        <f t="shared" ca="1" si="7"/>
        <v/>
      </c>
      <c r="AH18" s="37" t="str">
        <f t="shared" ca="1" si="7"/>
        <v/>
      </c>
      <c r="AI18" s="37" t="str">
        <f t="shared" ca="1" si="7"/>
        <v/>
      </c>
      <c r="AJ18" s="37" t="str">
        <f t="shared" ca="1" si="7"/>
        <v/>
      </c>
      <c r="AK18" s="37" t="str">
        <f t="shared" ca="1" si="7"/>
        <v/>
      </c>
      <c r="AL18" s="37" t="str">
        <f t="shared" ca="1" si="7"/>
        <v/>
      </c>
      <c r="AM18" s="37" t="str">
        <f t="shared" ca="1" si="7"/>
        <v/>
      </c>
      <c r="AN18" s="37" t="str">
        <f t="shared" ca="1" si="7"/>
        <v/>
      </c>
      <c r="AO18" s="37" t="str">
        <f t="shared" ca="1" si="8"/>
        <v/>
      </c>
      <c r="AP18" s="37" t="str">
        <f t="shared" ca="1" si="8"/>
        <v/>
      </c>
      <c r="AQ18" s="37">
        <f t="shared" ca="1" si="8"/>
        <v>2</v>
      </c>
      <c r="AR18" s="37" t="str">
        <f t="shared" ca="1" si="8"/>
        <v/>
      </c>
      <c r="AS18" s="37" t="str">
        <f t="shared" ca="1" si="8"/>
        <v/>
      </c>
      <c r="AT18" s="37" t="str">
        <f t="shared" ca="1" si="8"/>
        <v/>
      </c>
      <c r="AU18" s="37" t="str">
        <f t="shared" ca="1" si="8"/>
        <v/>
      </c>
      <c r="AV18" s="37" t="str">
        <f t="shared" ca="1" si="8"/>
        <v/>
      </c>
      <c r="AW18" s="37" t="str">
        <f t="shared" ca="1" si="8"/>
        <v/>
      </c>
      <c r="AX18" s="37" t="str">
        <f t="shared" ca="1" si="8"/>
        <v/>
      </c>
      <c r="AY18" s="37" t="str">
        <f t="shared" ca="1" si="8"/>
        <v/>
      </c>
      <c r="AZ18" s="37" t="str">
        <f t="shared" ca="1" si="8"/>
        <v/>
      </c>
      <c r="BA18" s="37" t="str">
        <f t="shared" ca="1" si="8"/>
        <v/>
      </c>
      <c r="BB18" s="37" t="str">
        <f t="shared" ca="1" si="8"/>
        <v/>
      </c>
      <c r="BC18" s="37" t="str">
        <f t="shared" ca="1" si="8"/>
        <v/>
      </c>
      <c r="BD18" s="37" t="str">
        <f t="shared" ca="1" si="8"/>
        <v/>
      </c>
      <c r="BE18" s="37" t="str">
        <f t="shared" ca="1" si="9"/>
        <v/>
      </c>
      <c r="BF18" s="37" t="str">
        <f t="shared" ca="1" si="9"/>
        <v/>
      </c>
      <c r="BG18" s="37" t="str">
        <f t="shared" ca="1" si="9"/>
        <v/>
      </c>
      <c r="BH18" s="37" t="str">
        <f t="shared" ca="1" si="9"/>
        <v/>
      </c>
      <c r="BI18" s="37" t="str">
        <f t="shared" ca="1" si="9"/>
        <v/>
      </c>
      <c r="BJ18" s="37" t="str">
        <f t="shared" ca="1" si="9"/>
        <v/>
      </c>
      <c r="BK18" s="37" t="str">
        <f t="shared" ca="1" si="9"/>
        <v/>
      </c>
      <c r="BL18" s="37" t="str">
        <f t="shared" ca="1" si="9"/>
        <v/>
      </c>
    </row>
    <row r="19" spans="1:64" s="2" customFormat="1" ht="30" customHeight="1" x14ac:dyDescent="0.25">
      <c r="A19" s="14"/>
      <c r="B19" s="51" t="s">
        <v>48</v>
      </c>
      <c r="C19" s="33" t="s">
        <v>16</v>
      </c>
      <c r="D19" s="33" t="s">
        <v>37</v>
      </c>
      <c r="E19" s="30"/>
      <c r="F19" s="31">
        <f ca="1">F18+1</f>
        <v>46202</v>
      </c>
      <c r="G19" s="32">
        <v>24</v>
      </c>
      <c r="H19" s="26"/>
      <c r="I19" s="37" t="str">
        <f t="shared" ca="1" si="10"/>
        <v/>
      </c>
      <c r="J19" s="37" t="str">
        <f t="shared" ca="1" si="6"/>
        <v/>
      </c>
      <c r="K19" s="37" t="str">
        <f t="shared" ca="1" si="6"/>
        <v/>
      </c>
      <c r="L19" s="37" t="str">
        <f t="shared" ca="1" si="6"/>
        <v/>
      </c>
      <c r="M19" s="37" t="str">
        <f t="shared" ca="1" si="6"/>
        <v/>
      </c>
      <c r="N19" s="37" t="str">
        <f t="shared" ca="1" si="6"/>
        <v/>
      </c>
      <c r="O19" s="37" t="str">
        <f t="shared" ca="1" si="6"/>
        <v/>
      </c>
      <c r="P19" s="37" t="str">
        <f t="shared" ca="1" si="6"/>
        <v/>
      </c>
      <c r="Q19" s="37" t="str">
        <f t="shared" ca="1" si="6"/>
        <v/>
      </c>
      <c r="R19" s="37" t="str">
        <f t="shared" ca="1" si="6"/>
        <v/>
      </c>
      <c r="S19" s="37" t="str">
        <f t="shared" ca="1" si="6"/>
        <v/>
      </c>
      <c r="T19" s="37" t="str">
        <f t="shared" ca="1" si="6"/>
        <v/>
      </c>
      <c r="U19" s="37" t="str">
        <f t="shared" ca="1" si="6"/>
        <v/>
      </c>
      <c r="V19" s="37" t="str">
        <f t="shared" ca="1" si="6"/>
        <v/>
      </c>
      <c r="W19" s="37" t="str">
        <f t="shared" ca="1" si="6"/>
        <v/>
      </c>
      <c r="X19" s="37" t="str">
        <f t="shared" ca="1" si="6"/>
        <v/>
      </c>
      <c r="Y19" s="37" t="str">
        <f t="shared" ca="1" si="7"/>
        <v/>
      </c>
      <c r="Z19" s="37" t="str">
        <f t="shared" ca="1" si="7"/>
        <v/>
      </c>
      <c r="AA19" s="37" t="str">
        <f t="shared" ca="1" si="7"/>
        <v/>
      </c>
      <c r="AB19" s="37" t="str">
        <f t="shared" ca="1" si="7"/>
        <v/>
      </c>
      <c r="AC19" s="37" t="str">
        <f t="shared" ca="1" si="7"/>
        <v/>
      </c>
      <c r="AD19" s="37" t="str">
        <f t="shared" ca="1" si="7"/>
        <v/>
      </c>
      <c r="AE19" s="37" t="str">
        <f t="shared" ca="1" si="7"/>
        <v/>
      </c>
      <c r="AF19" s="37" t="str">
        <f t="shared" ca="1" si="7"/>
        <v/>
      </c>
      <c r="AG19" s="37" t="str">
        <f t="shared" ca="1" si="7"/>
        <v/>
      </c>
      <c r="AH19" s="37" t="str">
        <f t="shared" ca="1" si="7"/>
        <v/>
      </c>
      <c r="AI19" s="37" t="str">
        <f t="shared" ca="1" si="7"/>
        <v/>
      </c>
      <c r="AJ19" s="37" t="str">
        <f t="shared" ca="1" si="7"/>
        <v/>
      </c>
      <c r="AK19" s="37" t="str">
        <f t="shared" ca="1" si="7"/>
        <v/>
      </c>
      <c r="AL19" s="37" t="str">
        <f t="shared" ca="1" si="7"/>
        <v/>
      </c>
      <c r="AM19" s="37" t="str">
        <f t="shared" ca="1" si="7"/>
        <v/>
      </c>
      <c r="AN19" s="37" t="str">
        <f t="shared" ca="1" si="7"/>
        <v/>
      </c>
      <c r="AO19" s="37" t="str">
        <f t="shared" ca="1" si="8"/>
        <v/>
      </c>
      <c r="AP19" s="37" t="str">
        <f t="shared" ca="1" si="8"/>
        <v/>
      </c>
      <c r="AQ19" s="37" t="str">
        <f t="shared" ca="1" si="8"/>
        <v/>
      </c>
      <c r="AR19" s="37">
        <f t="shared" ca="1" si="8"/>
        <v>2</v>
      </c>
      <c r="AS19" s="37">
        <f t="shared" ca="1" si="8"/>
        <v>2</v>
      </c>
      <c r="AT19" s="37">
        <f t="shared" ca="1" si="8"/>
        <v>2</v>
      </c>
      <c r="AU19" s="37">
        <f t="shared" ca="1" si="8"/>
        <v>2</v>
      </c>
      <c r="AV19" s="37">
        <f t="shared" ca="1" si="8"/>
        <v>2</v>
      </c>
      <c r="AW19" s="37">
        <f t="shared" ca="1" si="8"/>
        <v>2</v>
      </c>
      <c r="AX19" s="37">
        <f t="shared" ca="1" si="8"/>
        <v>2</v>
      </c>
      <c r="AY19" s="37">
        <f t="shared" ca="1" si="8"/>
        <v>2</v>
      </c>
      <c r="AZ19" s="37">
        <f t="shared" ca="1" si="8"/>
        <v>2</v>
      </c>
      <c r="BA19" s="37">
        <f t="shared" ca="1" si="8"/>
        <v>2</v>
      </c>
      <c r="BB19" s="37">
        <f t="shared" ca="1" si="8"/>
        <v>2</v>
      </c>
      <c r="BC19" s="37">
        <f t="shared" ca="1" si="8"/>
        <v>2</v>
      </c>
      <c r="BD19" s="37">
        <f t="shared" ca="1" si="8"/>
        <v>2</v>
      </c>
      <c r="BE19" s="37">
        <f t="shared" ca="1" si="9"/>
        <v>2</v>
      </c>
      <c r="BF19" s="37">
        <f t="shared" ca="1" si="9"/>
        <v>2</v>
      </c>
      <c r="BG19" s="37">
        <f t="shared" ca="1" si="9"/>
        <v>2</v>
      </c>
      <c r="BH19" s="37">
        <f t="shared" ca="1" si="9"/>
        <v>2</v>
      </c>
      <c r="BI19" s="37">
        <f t="shared" ca="1" si="9"/>
        <v>2</v>
      </c>
      <c r="BJ19" s="37">
        <f t="shared" ca="1" si="9"/>
        <v>2</v>
      </c>
      <c r="BK19" s="37">
        <f t="shared" ca="1" si="9"/>
        <v>2</v>
      </c>
      <c r="BL19" s="37">
        <f t="shared" ca="1" si="9"/>
        <v>2</v>
      </c>
    </row>
    <row r="20" spans="1:64" s="2" customFormat="1" ht="30" customHeight="1" x14ac:dyDescent="0.25">
      <c r="A20" s="14"/>
      <c r="B20" s="51" t="s">
        <v>49</v>
      </c>
      <c r="C20" s="33" t="s">
        <v>16</v>
      </c>
      <c r="D20" s="33" t="s">
        <v>39</v>
      </c>
      <c r="E20" s="30"/>
      <c r="F20" s="31">
        <f ca="1">F10+15</f>
        <v>46201</v>
      </c>
      <c r="G20" s="32">
        <v>4</v>
      </c>
      <c r="H20" s="26"/>
      <c r="I20" s="37" t="str">
        <f t="shared" ca="1" si="10"/>
        <v/>
      </c>
      <c r="J20" s="37" t="str">
        <f t="shared" ca="1" si="6"/>
        <v/>
      </c>
      <c r="K20" s="37" t="str">
        <f t="shared" ca="1" si="6"/>
        <v/>
      </c>
      <c r="L20" s="37" t="str">
        <f t="shared" ca="1" si="6"/>
        <v/>
      </c>
      <c r="M20" s="37" t="str">
        <f t="shared" ca="1" si="6"/>
        <v/>
      </c>
      <c r="N20" s="37" t="str">
        <f t="shared" ca="1" si="6"/>
        <v/>
      </c>
      <c r="O20" s="37" t="str">
        <f t="shared" ca="1" si="6"/>
        <v/>
      </c>
      <c r="P20" s="37" t="str">
        <f t="shared" ca="1" si="6"/>
        <v/>
      </c>
      <c r="Q20" s="37" t="str">
        <f t="shared" ca="1" si="6"/>
        <v/>
      </c>
      <c r="R20" s="37" t="str">
        <f t="shared" ca="1" si="6"/>
        <v/>
      </c>
      <c r="S20" s="37" t="str">
        <f t="shared" ca="1" si="6"/>
        <v/>
      </c>
      <c r="T20" s="37" t="str">
        <f t="shared" ca="1" si="6"/>
        <v/>
      </c>
      <c r="U20" s="37" t="str">
        <f t="shared" ca="1" si="6"/>
        <v/>
      </c>
      <c r="V20" s="37" t="str">
        <f t="shared" ca="1" si="6"/>
        <v/>
      </c>
      <c r="W20" s="37" t="str">
        <f t="shared" ca="1" si="6"/>
        <v/>
      </c>
      <c r="X20" s="37" t="str">
        <f t="shared" ca="1" si="6"/>
        <v/>
      </c>
      <c r="Y20" s="37" t="str">
        <f t="shared" ca="1" si="7"/>
        <v/>
      </c>
      <c r="Z20" s="37" t="str">
        <f t="shared" ca="1" si="7"/>
        <v/>
      </c>
      <c r="AA20" s="37" t="str">
        <f t="shared" ca="1" si="7"/>
        <v/>
      </c>
      <c r="AB20" s="37" t="str">
        <f t="shared" ca="1" si="7"/>
        <v/>
      </c>
      <c r="AC20" s="37" t="str">
        <f t="shared" ca="1" si="7"/>
        <v/>
      </c>
      <c r="AD20" s="37" t="str">
        <f t="shared" ca="1" si="7"/>
        <v/>
      </c>
      <c r="AE20" s="37" t="str">
        <f t="shared" ca="1" si="7"/>
        <v/>
      </c>
      <c r="AF20" s="37" t="str">
        <f t="shared" ca="1" si="7"/>
        <v/>
      </c>
      <c r="AG20" s="37" t="str">
        <f t="shared" ca="1" si="7"/>
        <v/>
      </c>
      <c r="AH20" s="37" t="str">
        <f t="shared" ca="1" si="7"/>
        <v/>
      </c>
      <c r="AI20" s="37" t="str">
        <f t="shared" ca="1" si="7"/>
        <v/>
      </c>
      <c r="AJ20" s="37" t="str">
        <f t="shared" ca="1" si="7"/>
        <v/>
      </c>
      <c r="AK20" s="37" t="str">
        <f t="shared" ca="1" si="7"/>
        <v/>
      </c>
      <c r="AL20" s="37" t="str">
        <f t="shared" ca="1" si="7"/>
        <v/>
      </c>
      <c r="AM20" s="37" t="str">
        <f t="shared" ca="1" si="7"/>
        <v/>
      </c>
      <c r="AN20" s="37" t="str">
        <f t="shared" ca="1" si="7"/>
        <v/>
      </c>
      <c r="AO20" s="37" t="str">
        <f t="shared" ca="1" si="8"/>
        <v/>
      </c>
      <c r="AP20" s="37" t="str">
        <f t="shared" ca="1" si="8"/>
        <v/>
      </c>
      <c r="AQ20" s="37">
        <f t="shared" ca="1" si="8"/>
        <v>2</v>
      </c>
      <c r="AR20" s="37">
        <f t="shared" ca="1" si="8"/>
        <v>2</v>
      </c>
      <c r="AS20" s="37">
        <f t="shared" ca="1" si="8"/>
        <v>2</v>
      </c>
      <c r="AT20" s="37">
        <f t="shared" ca="1" si="8"/>
        <v>2</v>
      </c>
      <c r="AU20" s="37" t="str">
        <f t="shared" ca="1" si="8"/>
        <v/>
      </c>
      <c r="AV20" s="37" t="str">
        <f t="shared" ca="1" si="8"/>
        <v/>
      </c>
      <c r="AW20" s="37" t="str">
        <f t="shared" ca="1" si="8"/>
        <v/>
      </c>
      <c r="AX20" s="37" t="str">
        <f t="shared" ca="1" si="8"/>
        <v/>
      </c>
      <c r="AY20" s="37" t="str">
        <f t="shared" ca="1" si="8"/>
        <v/>
      </c>
      <c r="AZ20" s="37" t="str">
        <f t="shared" ca="1" si="8"/>
        <v/>
      </c>
      <c r="BA20" s="37" t="str">
        <f t="shared" ca="1" si="8"/>
        <v/>
      </c>
      <c r="BB20" s="37" t="str">
        <f t="shared" ca="1" si="8"/>
        <v/>
      </c>
      <c r="BC20" s="37" t="str">
        <f t="shared" ca="1" si="8"/>
        <v/>
      </c>
      <c r="BD20" s="37" t="str">
        <f t="shared" ca="1" si="8"/>
        <v/>
      </c>
      <c r="BE20" s="37" t="str">
        <f t="shared" ca="1" si="9"/>
        <v/>
      </c>
      <c r="BF20" s="37" t="str">
        <f t="shared" ca="1" si="9"/>
        <v/>
      </c>
      <c r="BG20" s="37" t="str">
        <f t="shared" ca="1" si="9"/>
        <v/>
      </c>
      <c r="BH20" s="37" t="str">
        <f t="shared" ca="1" si="9"/>
        <v/>
      </c>
      <c r="BI20" s="37" t="str">
        <f t="shared" ca="1" si="9"/>
        <v/>
      </c>
      <c r="BJ20" s="37" t="str">
        <f t="shared" ca="1" si="9"/>
        <v/>
      </c>
      <c r="BK20" s="37" t="str">
        <f t="shared" ca="1" si="9"/>
        <v/>
      </c>
      <c r="BL20" s="37" t="str">
        <f t="shared" ca="1" si="9"/>
        <v/>
      </c>
    </row>
    <row r="21" spans="1:64" s="2" customFormat="1" ht="30" customHeight="1" x14ac:dyDescent="0.25">
      <c r="A21" s="14"/>
      <c r="B21" s="51" t="s">
        <v>50</v>
      </c>
      <c r="C21" s="33" t="s">
        <v>16</v>
      </c>
      <c r="D21" s="33" t="s">
        <v>37</v>
      </c>
      <c r="E21" s="30"/>
      <c r="F21" s="31">
        <f ca="1">F20+3</f>
        <v>46204</v>
      </c>
      <c r="G21" s="32">
        <v>14</v>
      </c>
      <c r="H21" s="26"/>
      <c r="I21" s="37" t="str">
        <f t="shared" ca="1" si="10"/>
        <v/>
      </c>
      <c r="J21" s="37" t="str">
        <f t="shared" ca="1" si="6"/>
        <v/>
      </c>
      <c r="K21" s="37" t="str">
        <f t="shared" ca="1" si="6"/>
        <v/>
      </c>
      <c r="L21" s="37" t="str">
        <f t="shared" ca="1" si="6"/>
        <v/>
      </c>
      <c r="M21" s="37" t="str">
        <f t="shared" ca="1" si="6"/>
        <v/>
      </c>
      <c r="N21" s="37" t="str">
        <f t="shared" ca="1" si="6"/>
        <v/>
      </c>
      <c r="O21" s="37" t="str">
        <f t="shared" ca="1" si="6"/>
        <v/>
      </c>
      <c r="P21" s="37" t="str">
        <f t="shared" ca="1" si="6"/>
        <v/>
      </c>
      <c r="Q21" s="37" t="str">
        <f t="shared" ca="1" si="6"/>
        <v/>
      </c>
      <c r="R21" s="37" t="str">
        <f t="shared" ca="1" si="6"/>
        <v/>
      </c>
      <c r="S21" s="37" t="str">
        <f t="shared" ca="1" si="6"/>
        <v/>
      </c>
      <c r="T21" s="37" t="str">
        <f t="shared" ca="1" si="6"/>
        <v/>
      </c>
      <c r="U21" s="37" t="str">
        <f t="shared" ca="1" si="6"/>
        <v/>
      </c>
      <c r="V21" s="37" t="str">
        <f t="shared" ca="1" si="6"/>
        <v/>
      </c>
      <c r="W21" s="37" t="str">
        <f t="shared" ca="1" si="6"/>
        <v/>
      </c>
      <c r="X21" s="37" t="str">
        <f t="shared" ca="1" si="6"/>
        <v/>
      </c>
      <c r="Y21" s="37" t="str">
        <f t="shared" ca="1" si="7"/>
        <v/>
      </c>
      <c r="Z21" s="37" t="str">
        <f t="shared" ca="1" si="7"/>
        <v/>
      </c>
      <c r="AA21" s="37" t="str">
        <f t="shared" ca="1" si="7"/>
        <v/>
      </c>
      <c r="AB21" s="37" t="str">
        <f t="shared" ca="1" si="7"/>
        <v/>
      </c>
      <c r="AC21" s="37" t="str">
        <f t="shared" ca="1" si="7"/>
        <v/>
      </c>
      <c r="AD21" s="37" t="str">
        <f t="shared" ca="1" si="7"/>
        <v/>
      </c>
      <c r="AE21" s="37" t="str">
        <f t="shared" ca="1" si="7"/>
        <v/>
      </c>
      <c r="AF21" s="37" t="str">
        <f t="shared" ca="1" si="7"/>
        <v/>
      </c>
      <c r="AG21" s="37" t="str">
        <f t="shared" ca="1" si="7"/>
        <v/>
      </c>
      <c r="AH21" s="37" t="str">
        <f t="shared" ca="1" si="7"/>
        <v/>
      </c>
      <c r="AI21" s="37" t="str">
        <f t="shared" ca="1" si="7"/>
        <v/>
      </c>
      <c r="AJ21" s="37" t="str">
        <f t="shared" ca="1" si="7"/>
        <v/>
      </c>
      <c r="AK21" s="37" t="str">
        <f t="shared" ca="1" si="7"/>
        <v/>
      </c>
      <c r="AL21" s="37" t="str">
        <f t="shared" ca="1" si="7"/>
        <v/>
      </c>
      <c r="AM21" s="37" t="str">
        <f t="shared" ca="1" si="7"/>
        <v/>
      </c>
      <c r="AN21" s="37" t="str">
        <f t="shared" ca="1" si="7"/>
        <v/>
      </c>
      <c r="AO21" s="37" t="str">
        <f t="shared" ca="1" si="8"/>
        <v/>
      </c>
      <c r="AP21" s="37" t="str">
        <f t="shared" ca="1" si="8"/>
        <v/>
      </c>
      <c r="AQ21" s="37" t="str">
        <f t="shared" ca="1" si="8"/>
        <v/>
      </c>
      <c r="AR21" s="37" t="str">
        <f t="shared" ca="1" si="8"/>
        <v/>
      </c>
      <c r="AS21" s="37" t="str">
        <f t="shared" ca="1" si="8"/>
        <v/>
      </c>
      <c r="AT21" s="37">
        <f t="shared" ca="1" si="8"/>
        <v>2</v>
      </c>
      <c r="AU21" s="37">
        <f t="shared" ca="1" si="8"/>
        <v>2</v>
      </c>
      <c r="AV21" s="37">
        <f t="shared" ca="1" si="8"/>
        <v>2</v>
      </c>
      <c r="AW21" s="37">
        <f t="shared" ca="1" si="8"/>
        <v>2</v>
      </c>
      <c r="AX21" s="37">
        <f t="shared" ca="1" si="8"/>
        <v>2</v>
      </c>
      <c r="AY21" s="37">
        <f t="shared" ca="1" si="8"/>
        <v>2</v>
      </c>
      <c r="AZ21" s="37">
        <f t="shared" ca="1" si="8"/>
        <v>2</v>
      </c>
      <c r="BA21" s="37">
        <f t="shared" ca="1" si="8"/>
        <v>2</v>
      </c>
      <c r="BB21" s="37">
        <f t="shared" ca="1" si="8"/>
        <v>2</v>
      </c>
      <c r="BC21" s="37">
        <f t="shared" ca="1" si="8"/>
        <v>2</v>
      </c>
      <c r="BD21" s="37">
        <f t="shared" ca="1" si="8"/>
        <v>2</v>
      </c>
      <c r="BE21" s="37">
        <f t="shared" ca="1" si="9"/>
        <v>2</v>
      </c>
      <c r="BF21" s="37">
        <f t="shared" ca="1" si="9"/>
        <v>2</v>
      </c>
      <c r="BG21" s="37">
        <f t="shared" ca="1" si="9"/>
        <v>2</v>
      </c>
      <c r="BH21" s="37" t="str">
        <f t="shared" ca="1" si="9"/>
        <v/>
      </c>
      <c r="BI21" s="37" t="str">
        <f t="shared" ca="1" si="9"/>
        <v/>
      </c>
      <c r="BJ21" s="37" t="str">
        <f t="shared" ca="1" si="9"/>
        <v/>
      </c>
      <c r="BK21" s="37" t="str">
        <f t="shared" ca="1" si="9"/>
        <v/>
      </c>
      <c r="BL21" s="37" t="str">
        <f t="shared" ca="1" si="9"/>
        <v/>
      </c>
    </row>
    <row r="22" spans="1:64" s="2" customFormat="1" ht="30" customHeight="1" x14ac:dyDescent="0.25">
      <c r="A22" s="14"/>
      <c r="B22" s="51" t="s">
        <v>51</v>
      </c>
      <c r="C22" s="33" t="s">
        <v>16</v>
      </c>
      <c r="D22" s="33" t="s">
        <v>39</v>
      </c>
      <c r="E22" s="30"/>
      <c r="F22" s="31">
        <f ca="1">F21+15</f>
        <v>46219</v>
      </c>
      <c r="G22" s="32">
        <v>6</v>
      </c>
      <c r="H22" s="26"/>
      <c r="I22" s="37" t="str">
        <f t="shared" ca="1" si="10"/>
        <v/>
      </c>
      <c r="J22" s="37" t="str">
        <f t="shared" ca="1" si="6"/>
        <v/>
      </c>
      <c r="K22" s="37" t="str">
        <f t="shared" ca="1" si="6"/>
        <v/>
      </c>
      <c r="L22" s="37" t="str">
        <f t="shared" ca="1" si="6"/>
        <v/>
      </c>
      <c r="M22" s="37" t="str">
        <f t="shared" ca="1" si="6"/>
        <v/>
      </c>
      <c r="N22" s="37" t="str">
        <f t="shared" ca="1" si="6"/>
        <v/>
      </c>
      <c r="O22" s="37" t="str">
        <f t="shared" ca="1" si="6"/>
        <v/>
      </c>
      <c r="P22" s="37" t="str">
        <f t="shared" ca="1" si="6"/>
        <v/>
      </c>
      <c r="Q22" s="37" t="str">
        <f t="shared" ca="1" si="6"/>
        <v/>
      </c>
      <c r="R22" s="37" t="str">
        <f t="shared" ca="1" si="6"/>
        <v/>
      </c>
      <c r="S22" s="37" t="str">
        <f t="shared" ca="1" si="6"/>
        <v/>
      </c>
      <c r="T22" s="37" t="str">
        <f t="shared" ca="1" si="6"/>
        <v/>
      </c>
      <c r="U22" s="37" t="str">
        <f t="shared" ca="1" si="6"/>
        <v/>
      </c>
      <c r="V22" s="37" t="str">
        <f t="shared" ca="1" si="6"/>
        <v/>
      </c>
      <c r="W22" s="37" t="str">
        <f t="shared" ca="1" si="6"/>
        <v/>
      </c>
      <c r="X22" s="37" t="str">
        <f t="shared" ca="1" si="6"/>
        <v/>
      </c>
      <c r="Y22" s="37" t="str">
        <f t="shared" ca="1" si="7"/>
        <v/>
      </c>
      <c r="Z22" s="37" t="str">
        <f t="shared" ca="1" si="7"/>
        <v/>
      </c>
      <c r="AA22" s="37" t="str">
        <f t="shared" ca="1" si="7"/>
        <v/>
      </c>
      <c r="AB22" s="37" t="str">
        <f t="shared" ca="1" si="7"/>
        <v/>
      </c>
      <c r="AC22" s="37" t="str">
        <f t="shared" ca="1" si="7"/>
        <v/>
      </c>
      <c r="AD22" s="37" t="str">
        <f t="shared" ca="1" si="7"/>
        <v/>
      </c>
      <c r="AE22" s="37" t="str">
        <f t="shared" ca="1" si="7"/>
        <v/>
      </c>
      <c r="AF22" s="37" t="str">
        <f t="shared" ca="1" si="7"/>
        <v/>
      </c>
      <c r="AG22" s="37" t="str">
        <f t="shared" ca="1" si="7"/>
        <v/>
      </c>
      <c r="AH22" s="37" t="str">
        <f t="shared" ca="1" si="7"/>
        <v/>
      </c>
      <c r="AI22" s="37" t="str">
        <f t="shared" ca="1" si="7"/>
        <v/>
      </c>
      <c r="AJ22" s="37" t="str">
        <f t="shared" ca="1" si="7"/>
        <v/>
      </c>
      <c r="AK22" s="37" t="str">
        <f t="shared" ca="1" si="7"/>
        <v/>
      </c>
      <c r="AL22" s="37" t="str">
        <f t="shared" ca="1" si="7"/>
        <v/>
      </c>
      <c r="AM22" s="37" t="str">
        <f t="shared" ca="1" si="7"/>
        <v/>
      </c>
      <c r="AN22" s="37" t="str">
        <f t="shared" ref="AN22:BC23" ca="1" si="11">IF(AND($C22="Cel",AN$5&gt;=$F22,AN$5&lt;=$F22+$G22-1),2,IF(AND($C22="Punkt kontrolny",AN$5&gt;=$F22,AN$5&lt;=$F22+$G22-1),1,""))</f>
        <v/>
      </c>
      <c r="AO22" s="37" t="str">
        <f t="shared" ca="1" si="8"/>
        <v/>
      </c>
      <c r="AP22" s="37" t="str">
        <f t="shared" ca="1" si="8"/>
        <v/>
      </c>
      <c r="AQ22" s="37" t="str">
        <f t="shared" ca="1" si="8"/>
        <v/>
      </c>
      <c r="AR22" s="37" t="str">
        <f t="shared" ca="1" si="8"/>
        <v/>
      </c>
      <c r="AS22" s="37" t="str">
        <f t="shared" ca="1" si="8"/>
        <v/>
      </c>
      <c r="AT22" s="37" t="str">
        <f t="shared" ca="1" si="8"/>
        <v/>
      </c>
      <c r="AU22" s="37" t="str">
        <f t="shared" ca="1" si="8"/>
        <v/>
      </c>
      <c r="AV22" s="37" t="str">
        <f t="shared" ca="1" si="8"/>
        <v/>
      </c>
      <c r="AW22" s="37" t="str">
        <f t="shared" ca="1" si="8"/>
        <v/>
      </c>
      <c r="AX22" s="37" t="str">
        <f t="shared" ca="1" si="8"/>
        <v/>
      </c>
      <c r="AY22" s="37" t="str">
        <f t="shared" ca="1" si="8"/>
        <v/>
      </c>
      <c r="AZ22" s="37" t="str">
        <f t="shared" ca="1" si="8"/>
        <v/>
      </c>
      <c r="BA22" s="37" t="str">
        <f t="shared" ca="1" si="8"/>
        <v/>
      </c>
      <c r="BB22" s="37" t="str">
        <f t="shared" ca="1" si="8"/>
        <v/>
      </c>
      <c r="BC22" s="37" t="str">
        <f t="shared" ca="1" si="8"/>
        <v/>
      </c>
      <c r="BD22" s="37" t="str">
        <f t="shared" ref="BD22:BL23" ca="1" si="12">IF(AND($C22="Cel",BD$5&gt;=$F22,BD$5&lt;=$F22+$G22-1),2,IF(AND($C22="Punkt kontrolny",BD$5&gt;=$F22,BD$5&lt;=$F22+$G22-1),1,""))</f>
        <v/>
      </c>
      <c r="BE22" s="37" t="str">
        <f t="shared" ca="1" si="9"/>
        <v/>
      </c>
      <c r="BF22" s="37" t="str">
        <f t="shared" ca="1" si="9"/>
        <v/>
      </c>
      <c r="BG22" s="37" t="str">
        <f t="shared" ca="1" si="9"/>
        <v/>
      </c>
      <c r="BH22" s="37" t="str">
        <f t="shared" ca="1" si="9"/>
        <v/>
      </c>
      <c r="BI22" s="37">
        <f t="shared" ca="1" si="9"/>
        <v>2</v>
      </c>
      <c r="BJ22" s="37">
        <f t="shared" ca="1" si="9"/>
        <v>2</v>
      </c>
      <c r="BK22" s="37">
        <f t="shared" ca="1" si="9"/>
        <v>2</v>
      </c>
      <c r="BL22" s="37">
        <f t="shared" ca="1" si="9"/>
        <v>2</v>
      </c>
    </row>
    <row r="23" spans="1:64" s="2" customFormat="1" ht="30" customHeight="1" x14ac:dyDescent="0.25">
      <c r="A23" s="14"/>
      <c r="B23" s="51" t="s">
        <v>52</v>
      </c>
      <c r="C23" s="33" t="s">
        <v>16</v>
      </c>
      <c r="D23" s="33" t="s">
        <v>34</v>
      </c>
      <c r="E23" s="30"/>
      <c r="F23" s="31">
        <f ca="1">F18+22</f>
        <v>46223</v>
      </c>
      <c r="G23" s="32">
        <v>3</v>
      </c>
      <c r="H23" s="26"/>
      <c r="I23" s="37" t="str">
        <f t="shared" ca="1" si="10"/>
        <v/>
      </c>
      <c r="J23" s="37" t="str">
        <f t="shared" ca="1" si="10"/>
        <v/>
      </c>
      <c r="K23" s="37" t="str">
        <f t="shared" ca="1" si="10"/>
        <v/>
      </c>
      <c r="L23" s="37" t="str">
        <f t="shared" ca="1" si="10"/>
        <v/>
      </c>
      <c r="M23" s="37" t="str">
        <f t="shared" ca="1" si="10"/>
        <v/>
      </c>
      <c r="N23" s="37" t="str">
        <f t="shared" ca="1" si="10"/>
        <v/>
      </c>
      <c r="O23" s="37" t="str">
        <f t="shared" ca="1" si="10"/>
        <v/>
      </c>
      <c r="P23" s="37" t="str">
        <f t="shared" ca="1" si="10"/>
        <v/>
      </c>
      <c r="Q23" s="37" t="str">
        <f t="shared" ca="1" si="10"/>
        <v/>
      </c>
      <c r="R23" s="37" t="str">
        <f t="shared" ca="1" si="10"/>
        <v/>
      </c>
      <c r="S23" s="37" t="str">
        <f t="shared" ca="1" si="10"/>
        <v/>
      </c>
      <c r="T23" s="37" t="str">
        <f t="shared" ca="1" si="10"/>
        <v/>
      </c>
      <c r="U23" s="37" t="str">
        <f t="shared" ca="1" si="10"/>
        <v/>
      </c>
      <c r="V23" s="37" t="str">
        <f t="shared" ca="1" si="10"/>
        <v/>
      </c>
      <c r="W23" s="37" t="str">
        <f t="shared" ca="1" si="10"/>
        <v/>
      </c>
      <c r="X23" s="37" t="str">
        <f t="shared" ca="1" si="10"/>
        <v/>
      </c>
      <c r="Y23" s="37" t="str">
        <f t="shared" ref="Y23:AM23" ca="1" si="13">IF(AND($C23="Cel",Y$5&gt;=$F23,Y$5&lt;=$F23+$G23-1),2,IF(AND($C23="Punkt kontrolny",Y$5&gt;=$F23,Y$5&lt;=$F23+$G23-1),1,""))</f>
        <v/>
      </c>
      <c r="Z23" s="37" t="str">
        <f t="shared" ca="1" si="13"/>
        <v/>
      </c>
      <c r="AA23" s="37" t="str">
        <f t="shared" ca="1" si="13"/>
        <v/>
      </c>
      <c r="AB23" s="37" t="str">
        <f t="shared" ca="1" si="13"/>
        <v/>
      </c>
      <c r="AC23" s="37" t="str">
        <f t="shared" ca="1" si="13"/>
        <v/>
      </c>
      <c r="AD23" s="37" t="str">
        <f t="shared" ca="1" si="13"/>
        <v/>
      </c>
      <c r="AE23" s="37" t="str">
        <f t="shared" ca="1" si="13"/>
        <v/>
      </c>
      <c r="AF23" s="37" t="str">
        <f t="shared" ca="1" si="13"/>
        <v/>
      </c>
      <c r="AG23" s="37" t="str">
        <f t="shared" ca="1" si="13"/>
        <v/>
      </c>
      <c r="AH23" s="37" t="str">
        <f t="shared" ca="1" si="13"/>
        <v/>
      </c>
      <c r="AI23" s="37" t="str">
        <f t="shared" ca="1" si="13"/>
        <v/>
      </c>
      <c r="AJ23" s="37" t="str">
        <f t="shared" ca="1" si="13"/>
        <v/>
      </c>
      <c r="AK23" s="37" t="str">
        <f t="shared" ca="1" si="13"/>
        <v/>
      </c>
      <c r="AL23" s="37" t="str">
        <f t="shared" ca="1" si="13"/>
        <v/>
      </c>
      <c r="AM23" s="37" t="str">
        <f t="shared" ca="1" si="13"/>
        <v/>
      </c>
      <c r="AN23" s="37" t="str">
        <f t="shared" ca="1" si="11"/>
        <v/>
      </c>
      <c r="AO23" s="37" t="str">
        <f t="shared" ca="1" si="11"/>
        <v/>
      </c>
      <c r="AP23" s="37" t="str">
        <f t="shared" ca="1" si="11"/>
        <v/>
      </c>
      <c r="AQ23" s="37" t="str">
        <f t="shared" ca="1" si="11"/>
        <v/>
      </c>
      <c r="AR23" s="37" t="str">
        <f t="shared" ca="1" si="11"/>
        <v/>
      </c>
      <c r="AS23" s="37" t="str">
        <f t="shared" ca="1" si="11"/>
        <v/>
      </c>
      <c r="AT23" s="37" t="str">
        <f t="shared" ca="1" si="11"/>
        <v/>
      </c>
      <c r="AU23" s="37" t="str">
        <f t="shared" ca="1" si="11"/>
        <v/>
      </c>
      <c r="AV23" s="37" t="str">
        <f t="shared" ca="1" si="11"/>
        <v/>
      </c>
      <c r="AW23" s="37" t="str">
        <f t="shared" ca="1" si="11"/>
        <v/>
      </c>
      <c r="AX23" s="37" t="str">
        <f t="shared" ca="1" si="11"/>
        <v/>
      </c>
      <c r="AY23" s="37" t="str">
        <f t="shared" ca="1" si="11"/>
        <v/>
      </c>
      <c r="AZ23" s="37" t="str">
        <f t="shared" ca="1" si="11"/>
        <v/>
      </c>
      <c r="BA23" s="37" t="str">
        <f t="shared" ca="1" si="11"/>
        <v/>
      </c>
      <c r="BB23" s="37" t="str">
        <f t="shared" ca="1" si="11"/>
        <v/>
      </c>
      <c r="BC23" s="37" t="str">
        <f t="shared" ca="1" si="11"/>
        <v/>
      </c>
      <c r="BD23" s="37" t="str">
        <f t="shared" ca="1" si="12"/>
        <v/>
      </c>
      <c r="BE23" s="37" t="str">
        <f t="shared" ca="1" si="12"/>
        <v/>
      </c>
      <c r="BF23" s="37" t="str">
        <f t="shared" ca="1" si="12"/>
        <v/>
      </c>
      <c r="BG23" s="37" t="str">
        <f t="shared" ca="1" si="12"/>
        <v/>
      </c>
      <c r="BH23" s="37" t="str">
        <f t="shared" ca="1" si="12"/>
        <v/>
      </c>
      <c r="BI23" s="37" t="str">
        <f t="shared" ca="1" si="12"/>
        <v/>
      </c>
      <c r="BJ23" s="37" t="str">
        <f t="shared" ca="1" si="12"/>
        <v/>
      </c>
      <c r="BK23" s="37" t="str">
        <f t="shared" ca="1" si="12"/>
        <v/>
      </c>
      <c r="BL23" s="37" t="str">
        <f t="shared" ca="1" si="12"/>
        <v/>
      </c>
    </row>
    <row r="24" spans="1:64" s="2" customFormat="1" ht="30" customHeight="1" thickBot="1" x14ac:dyDescent="0.3">
      <c r="A24" s="15" t="s">
        <v>9</v>
      </c>
      <c r="B24" s="24" t="s">
        <v>14</v>
      </c>
      <c r="C24" s="24"/>
      <c r="D24" s="24"/>
      <c r="E24" s="24"/>
      <c r="F24" s="39"/>
      <c r="G24" s="24"/>
      <c r="H24" s="45"/>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row>
    <row r="25" spans="1:64" ht="30" customHeight="1" x14ac:dyDescent="0.25">
      <c r="D25" s="5"/>
      <c r="G25" s="16"/>
      <c r="H25" s="4"/>
    </row>
    <row r="26" spans="1:64" ht="30" customHeight="1" x14ac:dyDescent="0.25">
      <c r="D26" s="6"/>
    </row>
  </sheetData>
  <mergeCells count="9">
    <mergeCell ref="X2:AA2"/>
    <mergeCell ref="AC2:AF2"/>
    <mergeCell ref="D3:E3"/>
    <mergeCell ref="D4:E4"/>
    <mergeCell ref="B5:H5"/>
    <mergeCell ref="F3:G3"/>
    <mergeCell ref="I2:L2"/>
    <mergeCell ref="N2:Q2"/>
    <mergeCell ref="S2:V2"/>
  </mergeCells>
  <conditionalFormatting sqref="E7:E23">
    <cfRule type="dataBar" priority="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4">
    <cfRule type="expression" dxfId="8" priority="1">
      <formula>AND(TODAY()&gt;=I$5,TODAY()&lt;J$5)</formula>
    </cfRule>
  </conditionalFormatting>
  <conditionalFormatting sqref="I4:AM4">
    <cfRule type="expression" dxfId="7" priority="7">
      <formula>I$5&lt;=EOMONTH($I$5,0)</formula>
    </cfRule>
  </conditionalFormatting>
  <conditionalFormatting sqref="J4:BL4">
    <cfRule type="expression" dxfId="6" priority="3">
      <formula>AND(J$5&lt;=EOMONTH($I$5,2),J$5&gt;EOMONTH($I$5,0),J$5&gt;EOMONTH($I$5,1))</formula>
    </cfRule>
  </conditionalFormatting>
  <conditionalFormatting sqref="I4:BL4">
    <cfRule type="expression" dxfId="5" priority="2">
      <formula>AND(I$5&lt;=EOMONTH($I$5,1),I$5&gt;EOMONTH($I$5,0))</formula>
    </cfRule>
  </conditionalFormatting>
  <conditionalFormatting sqref="I8:BL23">
    <cfRule type="expression" dxfId="4" priority="24" stopIfTrue="1">
      <formula>AND($C8="Niskie ryzyko",I$5&gt;=$F8,I$5&lt;=$F8+$G8-1)</formula>
    </cfRule>
    <cfRule type="expression" dxfId="3" priority="43" stopIfTrue="1">
      <formula>AND($C8="Wysokie ryzyko",I$5&gt;=$F8,I$5&lt;=$F8+$G8-1)</formula>
    </cfRule>
    <cfRule type="expression" dxfId="2" priority="61" stopIfTrue="1">
      <formula>AND($C8="Zgodnie z planem",I$5&gt;=$F8,I$5&lt;=$F8+$G8-1)</formula>
    </cfRule>
    <cfRule type="expression" dxfId="1" priority="62" stopIfTrue="1">
      <formula>AND($C8="Średnie ryzyko",I$5&gt;=$F8,I$5&lt;=$F8+$G8-1)</formula>
    </cfRule>
    <cfRule type="expression" dxfId="0" priority="63" stopIfTrue="1">
      <formula>AND(LEN($C8)=0,I$5&gt;=$F8,I$5&lt;=$F8+$G8-1)</formula>
    </cfRule>
  </conditionalFormatting>
  <dataValidations count="2">
    <dataValidation type="whole" operator="greaterThanOrEqual" allowBlank="1" showInputMessage="1" promptTitle="Przyrost przewijania" prompt="Zmiana tej liczby spowoduje przewinięcie widoku wykresu Gantta." sqref="F4">
      <formula1>0</formula1>
    </dataValidation>
    <dataValidation type="list" allowBlank="1" showInputMessage="1" showErrorMessage="1" sqref="C10:C23">
      <formula1>"Cel,Punkt kontrolny,Zgodnie z planem, Niskie ryzyko, Średnie ryzyko, Wysokie ryzyko"</formula1>
    </dataValidation>
  </dataValidations>
  <printOptions horizontalCentered="1"/>
  <pageMargins left="0.25" right="0.25" top="0.5" bottom="0.5" header="0.3" footer="0.3"/>
  <pageSetup paperSize="9" scale="47" fitToHeight="0" orientation="landscape" r:id="rId1"/>
  <headerFooter differentFirst="1" scaleWithDoc="0">
    <oddFooter>Page &amp;P of &amp;N</oddFooter>
  </headerFooter>
  <ignoredErrors>
    <ignoredError sqref="F17"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6149" r:id="rId4" name="Pasek przewijania 5">
              <controlPr defaultSize="0" autoPict="0" altText="Pasek przewijania do przewijania osi czasu projektu Gantta.">
                <anchor moveWithCells="1">
                  <from>
                    <xdr:col>8</xdr:col>
                    <xdr:colOff>28575</xdr:colOff>
                    <xdr:row>5</xdr:row>
                    <xdr:rowOff>57150</xdr:rowOff>
                  </from>
                  <to>
                    <xdr:col>63</xdr:col>
                    <xdr:colOff>342900</xdr:colOff>
                    <xdr:row>5</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E7:E23</xm:sqref>
        </x14:conditionalFormatting>
        <x14:conditionalFormatting xmlns:xm="http://schemas.microsoft.com/office/excel/2006/main">
          <x14:cfRule type="iconSet" priority="70"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I24:BL24</xm:sqref>
        </x14:conditionalFormatting>
        <x14:conditionalFormatting xmlns:xm="http://schemas.microsoft.com/office/excel/2006/main">
          <x14:cfRule type="iconSet" priority="213"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I8:BL23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showGridLines="0" zoomScaleNormal="100" workbookViewId="0"/>
  </sheetViews>
  <sheetFormatPr defaultColWidth="9.140625" defaultRowHeight="12.75" x14ac:dyDescent="0.2"/>
  <cols>
    <col min="1" max="1" width="87.140625" style="10" customWidth="1"/>
    <col min="2" max="16384" width="9.140625" style="8"/>
  </cols>
  <sheetData>
    <row r="1" spans="1:1" s="9" customFormat="1" ht="26.25" x14ac:dyDescent="0.4">
      <c r="A1" s="11" t="s">
        <v>29</v>
      </c>
    </row>
    <row r="2" spans="1:1" ht="105.75" customHeight="1" x14ac:dyDescent="0.2">
      <c r="A2" s="12" t="s">
        <v>30</v>
      </c>
    </row>
    <row r="3" spans="1:1" ht="26.25" customHeight="1" x14ac:dyDescent="0.2">
      <c r="A3" s="11" t="s">
        <v>31</v>
      </c>
    </row>
    <row r="4" spans="1:1" s="10" customFormat="1" ht="204.95" customHeight="1" x14ac:dyDescent="0.25">
      <c r="A4" s="13" t="s">
        <v>33</v>
      </c>
    </row>
    <row r="5" spans="1:1" ht="15" x14ac:dyDescent="0.2">
      <c r="A5" s="46" t="s">
        <v>32</v>
      </c>
    </row>
  </sheetData>
  <pageMargins left="0.5" right="0.5" top="0.5" bottom="0.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Zakresy nazwane</vt:lpstr>
      </vt:variant>
      <vt:variant>
        <vt:i4>3</vt:i4>
      </vt:variant>
    </vt:vector>
  </HeadingPairs>
  <TitlesOfParts>
    <vt:vector size="5" baseType="lpstr">
      <vt:lpstr>Gantt</vt:lpstr>
      <vt:lpstr>Około</vt:lpstr>
      <vt:lpstr>Projekt_start</vt:lpstr>
      <vt:lpstr>Przewijanie_przyrostu</vt:lpstr>
      <vt:lpstr>Gantt!Tytuły_wydruku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2018-07-14T00:37:31Z</dcterms:created>
  <dcterms:modified xsi:type="dcterms:W3CDTF">2026-06-13T15:28:14Z</dcterms:modified>
</cp:coreProperties>
</file>